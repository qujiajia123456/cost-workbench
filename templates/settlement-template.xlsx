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917" windowHeight="8010" tabRatio="597"/>
  </bookViews>
  <sheets>
    <sheet name="五公司" sheetId="3" r:id="rId1"/>
  </sheets>
  <definedNames>
    <definedName name="_xlnm.Print_Titles" localSheetId="0">五公司!$1:$5</definedName>
    <definedName name="_xlnm.Print_Area" localSheetId="0">五公司!$A$1:$X$65</definedName>
    <definedName name="_xlnm._FilterDatabase" localSheetId="0" hidden="1">五公司!$A$1:$AD$58</definedName>
  </definedNames>
  <calcPr calcId="144525" fullCalcOnLoad="1"/>
</workbook>
</file>

<file path=xl/sharedStrings.xml><?xml version="1.0" encoding="utf-8"?>
<sst xmlns="http://schemas.openxmlformats.org/spreadsheetml/2006/main" count="439" uniqueCount="315">
  <si>
    <t>2026年竣工结算定案情况一览表</t>
  </si>
  <si>
    <t>单位名称：烟建集团有限公司第五建筑安装分公司</t>
  </si>
  <si>
    <t>填写时间：2026.5.20</t>
  </si>
  <si>
    <t>序号</t>
  </si>
  <si>
    <t>工程名称</t>
  </si>
  <si>
    <t>建筑面积
(平米)</t>
  </si>
  <si>
    <t>合同价款
(万元)</t>
  </si>
  <si>
    <t>开工时间</t>
  </si>
  <si>
    <t>竣工时间</t>
  </si>
  <si>
    <t>递交时间</t>
  </si>
  <si>
    <t>结算递交
造价(万元)</t>
  </si>
  <si>
    <t>结算定案
时间</t>
  </si>
  <si>
    <t>结算定案
造价
(万元)</t>
  </si>
  <si>
    <t>结算
定案情况</t>
  </si>
  <si>
    <t>项目
经理</t>
  </si>
  <si>
    <t>结算
负责人</t>
  </si>
  <si>
    <t>分管副总经理</t>
  </si>
  <si>
    <t>定案逾期时间（月）</t>
  </si>
  <si>
    <t>计划定案
时间</t>
  </si>
  <si>
    <t>其中本月新增项</t>
  </si>
  <si>
    <t>备注</t>
  </si>
  <si>
    <t>合同</t>
  </si>
  <si>
    <t>实际</t>
  </si>
  <si>
    <t>应递交</t>
  </si>
  <si>
    <t>实际递交</t>
  </si>
  <si>
    <t>竣工项目</t>
  </si>
  <si>
    <t>定案项目</t>
  </si>
  <si>
    <t>个数</t>
  </si>
  <si>
    <t>造价</t>
  </si>
  <si>
    <t>以下工程为2026年定案工程（2025年6月30日以前竣工工程）</t>
  </si>
  <si>
    <t>中节能万润股份有限公司研发中心项目设计施工总承包</t>
  </si>
  <si>
    <t>2021/5/20</t>
  </si>
  <si>
    <t>2021/7/6</t>
  </si>
  <si>
    <t>2023/11/20</t>
  </si>
  <si>
    <t>2024/7/5</t>
  </si>
  <si>
    <t>2024/9/13</t>
  </si>
  <si>
    <t>2024/8/10</t>
  </si>
  <si>
    <t>2026/3/4</t>
  </si>
  <si>
    <t>已定案。</t>
  </si>
  <si>
    <t>杨广平
葛德宁</t>
  </si>
  <si>
    <t>刘晓凤
孙明涛</t>
  </si>
  <si>
    <t>杨学刚</t>
  </si>
  <si>
    <t>合同专用条款约定：工程竣工验收合格后28天内向发包人递交结算资料，未约定定案时间。</t>
  </si>
  <si>
    <t>定案造价小计</t>
  </si>
  <si>
    <t>/</t>
  </si>
  <si>
    <t>以下工程为2026年定案工程（2026年1月1日-2026年6月30日竣工工程）</t>
  </si>
  <si>
    <t>绿城蓬莱诚园二期Ⅱ标段工程</t>
  </si>
  <si>
    <t>2018/9/25</t>
  </si>
  <si>
    <t>2018/11/28</t>
  </si>
  <si>
    <t>2020/12/11</t>
  </si>
  <si>
    <t>2025/8/22</t>
  </si>
  <si>
    <t>2024/1/25</t>
  </si>
  <si>
    <t>2026/2/10</t>
  </si>
  <si>
    <t>宋宏昌
于寿之</t>
  </si>
  <si>
    <t>傅兆钰
张磊
蒋富利</t>
  </si>
  <si>
    <t>刘霞</t>
  </si>
  <si>
    <t>合同专用条款约定：工程竣工验收合格后60内递交结算资料；承包人提交合格、齐全的结算资料后六个月内审核完毕。</t>
  </si>
  <si>
    <t>定案造价合计</t>
  </si>
  <si>
    <t>以下工程为2025年6月30日以前竣工未定案工程</t>
  </si>
  <si>
    <t>花园府邸3#、5#、7#住宅楼及周边地下车库工程</t>
  </si>
  <si>
    <t>2019/5/30</t>
  </si>
  <si>
    <t>2019/9/21</t>
  </si>
  <si>
    <t>2021/5/29</t>
  </si>
  <si>
    <t>2022/3/31</t>
  </si>
  <si>
    <t>2022/6/9</t>
  </si>
  <si>
    <t>2022/7/12</t>
  </si>
  <si>
    <t>土建和安装工程量及上机套项均已完成，目前正在解决争议问题。</t>
  </si>
  <si>
    <t>胡广
王鹏伟</t>
  </si>
  <si>
    <t>李淑芹
孙传民</t>
  </si>
  <si>
    <t>刘超</t>
  </si>
  <si>
    <t>烟台光电传感产业园项目（A区）EPC工程总承包（标段一）</t>
  </si>
  <si>
    <t>2022/6/20</t>
  </si>
  <si>
    <t>2022/9/28</t>
  </si>
  <si>
    <t>2024/9/16</t>
  </si>
  <si>
    <t>2024/7/7</t>
  </si>
  <si>
    <t>2024/9/15</t>
  </si>
  <si>
    <t>2024/12/12</t>
  </si>
  <si>
    <r>
      <t>除争议外土建和安装工程量及上机套项均已核对完成，</t>
    </r>
    <r>
      <rPr>
        <sz val="9"/>
        <color rgb="FFFF0000"/>
        <rFont val="宋体"/>
        <charset val="134"/>
        <scheme val="minor"/>
      </rPr>
      <t>目前正在解决争议问题，补办资料中</t>
    </r>
    <r>
      <rPr>
        <sz val="9"/>
        <rFont val="宋体"/>
        <charset val="134"/>
        <scheme val="minor"/>
      </rPr>
      <t>。</t>
    </r>
  </si>
  <si>
    <t>鲁守明
李振兴</t>
  </si>
  <si>
    <t>付可顺
刘文科</t>
  </si>
  <si>
    <t>2026/7</t>
  </si>
  <si>
    <t>合同专用条款约定：工程竣工后三十个工作日内承包人上报工程结算；承包人接受发包人审计对结算价款的审核、审计，审核周期以实际期限为准。</t>
  </si>
  <si>
    <t>烟台黄渤海新区松山产业拓展联动基地项目EPC</t>
  </si>
  <si>
    <t>2023/2/28</t>
  </si>
  <si>
    <t>2023/3/1</t>
  </si>
  <si>
    <t>2024/4/24</t>
  </si>
  <si>
    <t>2024/7/20</t>
  </si>
  <si>
    <t>2024/9/28</t>
  </si>
  <si>
    <t>2024/9/19</t>
  </si>
  <si>
    <t>黄迁超
马建伟</t>
  </si>
  <si>
    <t>闫继芳
张强</t>
  </si>
  <si>
    <t>烟台环磁山国际科研走廊创新数字产业研究院东地块项目EPC工程总承包</t>
  </si>
  <si>
    <t>开工令</t>
  </si>
  <si>
    <t>2021/12/30</t>
  </si>
  <si>
    <t>670日历日</t>
  </si>
  <si>
    <t>2025/3/19</t>
  </si>
  <si>
    <t>土建核对完工程量的95%，上机套项完成60%；安装核对完工程量的95%，上机套项完成60%。</t>
  </si>
  <si>
    <t>闫文国
安红帅
翟守江</t>
  </si>
  <si>
    <t>李凤娟
邢耘玮
王茂虎</t>
  </si>
  <si>
    <t>闫文国</t>
  </si>
  <si>
    <t>2026/9</t>
  </si>
  <si>
    <t>合同专用条款约定：工程竣工后三十个工作日内承包人上报工程结算，未约定定案时间。</t>
  </si>
  <si>
    <t>烟台业达实业有限公司B-16小区工程</t>
  </si>
  <si>
    <t>2022/3/1</t>
  </si>
  <si>
    <t>2022/4/16</t>
  </si>
  <si>
    <t>2024/8/30</t>
  </si>
  <si>
    <t>2024/9/30</t>
  </si>
  <si>
    <t>2024/12/9</t>
  </si>
  <si>
    <t>2024/12/19</t>
  </si>
  <si>
    <t>土建核对完工程量的98%，上机套项完成70%；安装核对完工程量的98%，上机套项完成70%。</t>
  </si>
  <si>
    <t>杨学刚
宋宏昌
赵海强</t>
  </si>
  <si>
    <t>杨金凤
傅兆钰
宋卫玲</t>
  </si>
  <si>
    <t>合同专用条款约定结算递交执行通用条款：在工程竣工验收合格后28天内递交结算资料；自接到竣工结算申请全部资料后 30 日内审核定案。</t>
  </si>
  <si>
    <t>恒信·奎文熙湖名筑一期二期1#2#3#4#5#6#7#8#9#10#11#楼和幼儿园及车库等附属工程</t>
  </si>
  <si>
    <t>2020/10/20</t>
  </si>
  <si>
    <t>2020/11/6</t>
  </si>
  <si>
    <t>2024/5/6</t>
  </si>
  <si>
    <t>2024/11/25</t>
  </si>
  <si>
    <t>2025/2/3</t>
  </si>
  <si>
    <t>2025/3/1</t>
  </si>
  <si>
    <r>
      <t>除争议外一期和二期土建和安装均已核对完成，</t>
    </r>
    <r>
      <rPr>
        <sz val="9"/>
        <color rgb="FFFF0000"/>
        <rFont val="宋体"/>
        <charset val="134"/>
      </rPr>
      <t>目前一期和二期都在解决争议问题,补办资料中</t>
    </r>
    <r>
      <rPr>
        <sz val="9"/>
        <rFont val="宋体"/>
        <charset val="134"/>
      </rPr>
      <t>。</t>
    </r>
  </si>
  <si>
    <t>胡广
付春玲</t>
  </si>
  <si>
    <t>李淑琴
孙传民</t>
  </si>
  <si>
    <t>合同专用条款约定：工程结算资料在竣工验收合格后三个月内完成提报；在承包人提供的结算资料以第三方确认（书面）齐全并符合要求后12个月内出具定案报告。</t>
  </si>
  <si>
    <t>恒信潍中熙湖名筑北区1#2#3#4#5#6#、车库及附属工程</t>
  </si>
  <si>
    <t>2021/4/18</t>
  </si>
  <si>
    <t>2021/12/22</t>
  </si>
  <si>
    <t>2023/7/17</t>
  </si>
  <si>
    <t>2025/1/17</t>
  </si>
  <si>
    <t>2025/4/17</t>
  </si>
  <si>
    <t>2025/6/25</t>
  </si>
  <si>
    <t>除争议外土建和安装均已核对完成，目前正在解决争议。</t>
  </si>
  <si>
    <t>李万青
王鹏伟</t>
  </si>
  <si>
    <t>王靖
王成</t>
  </si>
  <si>
    <t>未定案造价小计</t>
  </si>
  <si>
    <t>以下工程为2025年7月1日-2025年12月31日竣工未定案工程</t>
  </si>
  <si>
    <t>城发·云悦府二期一标段工程总承包</t>
  </si>
  <si>
    <t>合同签订+开工令</t>
  </si>
  <si>
    <t>2022/2/20</t>
  </si>
  <si>
    <t>1+31个月</t>
  </si>
  <si>
    <t>2025/10/31</t>
  </si>
  <si>
    <t>2026/1/9</t>
  </si>
  <si>
    <t>竣工结算正在编制中。</t>
  </si>
  <si>
    <t>王兴杰</t>
  </si>
  <si>
    <t>2026/12</t>
  </si>
  <si>
    <t>合同专用条款约定：工程全部验收合格，达到入住条件并移交物业管理，
且发包人在收到承包人提供的符合市
城建档案馆和合同要求的所有竣工资料后，承包人申报完整的结算资料；
发包人审批竣工付款申请单的期限是
根据审批工作实际需要进行确定。</t>
  </si>
  <si>
    <t>工业余热利用配套管网及设施改造项目-长江路中继回水加压泵站项目工程总承包EPC</t>
  </si>
  <si>
    <t>13000（折）</t>
  </si>
  <si>
    <t>2025/5/3</t>
  </si>
  <si>
    <t>2025/5/13</t>
  </si>
  <si>
    <t>2025/9/30</t>
  </si>
  <si>
    <t>2025/11/21</t>
  </si>
  <si>
    <t>2026/1/30</t>
  </si>
  <si>
    <t>2026/3/30</t>
  </si>
  <si>
    <t>竣工结算资料已完成
结算递交流程，目前审计正在算量中，暂未开始核对。</t>
  </si>
  <si>
    <t>徐建启</t>
  </si>
  <si>
    <t>2026/10</t>
  </si>
  <si>
    <t>合同专用条款未约定结算递交时间和定案时间。</t>
  </si>
  <si>
    <t>化工园区智慧化改造提升工程二期工程总承包合同</t>
  </si>
  <si>
    <t>2024/3/15</t>
  </si>
  <si>
    <t>2025/7/14</t>
  </si>
  <si>
    <t>2025/12/18</t>
  </si>
  <si>
    <t>2026/2/26</t>
  </si>
  <si>
    <t>2026/3/6</t>
  </si>
  <si>
    <t>土建核对完成工程量的8%，安装核对完成工程量的8%。</t>
  </si>
  <si>
    <t>2026/11</t>
  </si>
  <si>
    <t>合同专用条款约定结算递交执行通用条款：在合同中通用条款省略；合同专用条款约定：自接到竣工结算申请全部资料后。</t>
  </si>
  <si>
    <t>恒源热源厂区改造提升（传达室及厂区道路等工程）</t>
  </si>
  <si>
    <t>发包人开工令</t>
  </si>
  <si>
    <t>2025/9/26</t>
  </si>
  <si>
    <t>自接到发包人开工令之日起60日历天</t>
  </si>
  <si>
    <t>2025/12/30</t>
  </si>
  <si>
    <t>2026/1/24</t>
  </si>
  <si>
    <t>土建核对完成工程量的10%，安装核对完成工程量的10%。</t>
  </si>
  <si>
    <t>解增清</t>
  </si>
  <si>
    <t>合同专用条款中约定：工程竣工后三十个工作日内承包人上报工程结算。</t>
  </si>
  <si>
    <t>以下工程为2026年1月1日-2026年6月30日竣工未定案工程</t>
  </si>
  <si>
    <t>八角第二小学扩建项目</t>
  </si>
  <si>
    <t>2025/1/1</t>
  </si>
  <si>
    <t>2025/2/7</t>
  </si>
  <si>
    <t>2025/12/31</t>
  </si>
  <si>
    <t>2026/2/5</t>
  </si>
  <si>
    <t>2026/4/16</t>
  </si>
  <si>
    <t>竣工结算资料已完成
结算递交流程，暂未开始核对。</t>
  </si>
  <si>
    <t>李福军
段岩</t>
  </si>
  <si>
    <t>刘文富
王海军</t>
  </si>
  <si>
    <t>A-21安置小区二期7#-10#楼、西大门、2#地下车库</t>
  </si>
  <si>
    <t>2023/2/10</t>
  </si>
  <si>
    <t>2023/4/01</t>
  </si>
  <si>
    <t>2025/9/10</t>
  </si>
  <si>
    <t>2026/4/15</t>
  </si>
  <si>
    <t>2026/6/24</t>
  </si>
  <si>
    <t>胡广
于强</t>
  </si>
  <si>
    <t>孙小涵
郭晓明
王岩超</t>
  </si>
  <si>
    <t>合同专用条款约定：工程竣工后，承包人按时向发包人提交结算报告及完整的结算资料1份，承包人提供的竣工结算资料必须为盖章签字齐全的原件，否则视为结算资料不完整，发包人有权拒绝接收；未约定审核定案时间。</t>
  </si>
  <si>
    <t>未定案造价合计</t>
  </si>
  <si>
    <t>本年度考核竣工工程合计</t>
  </si>
  <si>
    <t>截止到本月竣工工程合计</t>
  </si>
  <si>
    <t>在建工程</t>
  </si>
  <si>
    <t>金天国际骨科医院及科研中心工程</t>
  </si>
  <si>
    <t>2020/4/8</t>
  </si>
  <si>
    <t>2020/8/1</t>
  </si>
  <si>
    <t>2022/4/7</t>
  </si>
  <si>
    <t>合同专用条款约定结算递交和结算定案时间执行通用条款，在合同中通用条款省略。</t>
  </si>
  <si>
    <t>工业余热利用配套管网及设施改造项目-长江路(宁波路一祁连山路)一级热水管网工程EPC</t>
  </si>
  <si>
    <t>6737（折）</t>
  </si>
  <si>
    <t>2025/4/16</t>
  </si>
  <si>
    <t>2025/3/20</t>
  </si>
  <si>
    <t>2025/6/30</t>
  </si>
  <si>
    <t>新建大季家第四消防站建设工程</t>
  </si>
  <si>
    <t>2024/3/4</t>
  </si>
  <si>
    <t>365日历天</t>
  </si>
  <si>
    <t>合同专用条款约定：承包人应在工程竣工验收合格后28天内向递交结算资料；结算审核时间执行通用合同：收到竣工结算申请单后28天内。</t>
  </si>
  <si>
    <t>永臻工业科技（包头）有限公司年产100GW光伏铝边框项目总承包工程</t>
  </si>
  <si>
    <t>2025/4/1</t>
  </si>
  <si>
    <t>2025/4/18</t>
  </si>
  <si>
    <t>2025/12/1</t>
  </si>
  <si>
    <t>合同专用条款约定：工程竣工验收合格后30内递交结算资料；完整的结算申请后60天内应办理完成工程结算审计 。</t>
  </si>
  <si>
    <t>中国山东省烟台市烟台耀华学校项目(八角湾校区)一期总承包工程</t>
  </si>
  <si>
    <t>2024/5/7</t>
  </si>
  <si>
    <t>2024/7/13</t>
  </si>
  <si>
    <t>2026/3/1</t>
  </si>
  <si>
    <t>合同约定：承包商在收到工程接收证书后八十四(84)天内或与工程师商定的时间内，按其规定的格式提交竣工结算文件；工程师应在合理的时间内(视情况而定)或与各方商定的时间内完成承包商的竣工结算文件的审核评估工作。</t>
  </si>
  <si>
    <t>大季家污水处理厂提标工程项目</t>
  </si>
  <si>
    <t>22465（折）</t>
  </si>
  <si>
    <t>2024/12/15</t>
  </si>
  <si>
    <t>2025/4/10</t>
  </si>
  <si>
    <t>2025/11/30</t>
  </si>
  <si>
    <t>合同专用条款约定结算递交时间执行通用条款：承包人应在工程竣工验收合格后28天内递交完整结算资料；合同专用条款约定自接到竣工结算申请全部资料后30日内定案。</t>
  </si>
  <si>
    <t>A-23安置小区三期工程一标段</t>
  </si>
  <si>
    <t>2022/12/01</t>
  </si>
  <si>
    <t>2023/3/16</t>
  </si>
  <si>
    <t>2025/4/30</t>
  </si>
  <si>
    <t>合同专用条款约定结算递交执行通用条款：承包人应在工程竣工验收合格后28天内递交完整结算资料；专用条款约定自接到竣工结算申请全部资料后30日内审核完毕。</t>
  </si>
  <si>
    <t>清泉片区改造一期4-1#楼及地下车库</t>
  </si>
  <si>
    <t>2024/4/20</t>
  </si>
  <si>
    <t>2024/10/23</t>
  </si>
  <si>
    <t>2026/10/7</t>
  </si>
  <si>
    <t>合同专用条款约定：工程竣工验收合格后 28 日内，承包人按发包人要求提交《工程竣工结算审批单》，
签字手续齐全，且发包人收到承包人
递交的竣工结算报告及结算资料后，90 天内进行审核，给予确认或者提出修改意见。</t>
  </si>
  <si>
    <t>莱山经济开发区排水管网排查整治项目总承包EPC</t>
  </si>
  <si>
    <t>33987（折）</t>
  </si>
  <si>
    <t>招标人通知</t>
  </si>
  <si>
    <t>230日历天</t>
  </si>
  <si>
    <t>合同专用条款约定：工程竣工验收合格后28日内递交结算资料；承包人接受发包人对结算价款的审核、审计，审核周期以实际期限为准。</t>
  </si>
  <si>
    <t>解宋营安置小区EPC工程</t>
  </si>
  <si>
    <t>2025/2/21</t>
  </si>
  <si>
    <t>2025/6/23</t>
  </si>
  <si>
    <t>2027/8/20</t>
  </si>
  <si>
    <t>合同专用条款中约定：工程竣工后递交完整结算资料，未约定审核定案时间。</t>
  </si>
  <si>
    <t>福康小区二期10#楼维修</t>
  </si>
  <si>
    <t>2019/7/5</t>
  </si>
  <si>
    <t>2019/10/3</t>
  </si>
  <si>
    <t>所有维修项目完成30天内乙方提报维修结算及相关结算资料，甲方接收后30天内完成审核，签署审核报告。</t>
  </si>
  <si>
    <t>烟台市公安局经济技术开发区分局海河派出所建设项目</t>
  </si>
  <si>
    <t>甲方通知</t>
  </si>
  <si>
    <t>合同专用条款约定结算递交时间执行通用条款：在合同中通用条款省略；合同专用条款约定自接到竣工结算申请全部资料后30日内定案。</t>
  </si>
  <si>
    <t>永臻工业科技（包头）有限公司年产100GW光伏铝边框项目安装工程（预埋部分）</t>
  </si>
  <si>
    <t>2025/6/15</t>
  </si>
  <si>
    <t>合同专用条款中约定：工程竣工验收合格三十个工作日内承包人上报工程结算；完整的结算申请后60天内办理完成工程结算审计。</t>
  </si>
  <si>
    <t>2025年水塘水库集中改造海绵示范项目施工</t>
  </si>
  <si>
    <t>2025/8/1</t>
  </si>
  <si>
    <t>2025/8/15</t>
  </si>
  <si>
    <t>合同专用条款中约定：竣工验收合格后3个月以内递交结算；经发包人书面盖章确认承包人提交的所有结算资料齐全且无异议的情况下2个月内完成审核。</t>
  </si>
  <si>
    <t>力高新能源产业园三期项目2#动力站、3#仓库、连廊1、连廊2、上车楼板及传达室2工程</t>
  </si>
  <si>
    <t>2025/8/16</t>
  </si>
  <si>
    <t>2025/9/28</t>
  </si>
  <si>
    <t>2026/5/23</t>
  </si>
  <si>
    <t>执行通用合同条款。</t>
  </si>
  <si>
    <t>四期围墙土建</t>
  </si>
  <si>
    <t>2025/8/20</t>
  </si>
  <si>
    <t>2026/1/8</t>
  </si>
  <si>
    <t>2025/10/19</t>
  </si>
  <si>
    <t>合同专用条款中约定：承包人应在工程竣工验收合格后 28 天内向发包人提交竣工结算申请单；审核时间双方协商。</t>
  </si>
  <si>
    <t>新秦市翟镇200MW/400MWh新型储能电站
项目设计施工总承包</t>
  </si>
  <si>
    <t>2025/12/20</t>
  </si>
  <si>
    <t>2026/5/19</t>
  </si>
  <si>
    <t>小计</t>
  </si>
  <si>
    <t>未开工工程</t>
  </si>
  <si>
    <t>恒信·青州博悦世家一期、二期、幼儿园总包工程施工合同补充协议书</t>
  </si>
  <si>
    <t>2022/4/17</t>
  </si>
  <si>
    <t>2024/7/18</t>
  </si>
  <si>
    <t>甲方土地拆迁、相关开工手续等准备工作正在协调办理中。</t>
  </si>
  <si>
    <t>烟台港西港区应急救援站项目</t>
  </si>
  <si>
    <t>甲方在走项目审批流程。</t>
  </si>
  <si>
    <t>金都购物中心扩建项目工程</t>
  </si>
  <si>
    <t>2023/8/1</t>
  </si>
  <si>
    <t>2024/11/30</t>
  </si>
  <si>
    <t>合同已签订完成。
因主管领导变动，甲方暂无启动计划。</t>
  </si>
  <si>
    <t>诉讼工程</t>
  </si>
  <si>
    <t>陈家旧村改造项目D地块（祥隆绿城.蘭园）施工总承包工程</t>
  </si>
  <si>
    <t>2020/3/1</t>
  </si>
  <si>
    <t>2020/3/20</t>
  </si>
  <si>
    <t>2022/12/30</t>
  </si>
  <si>
    <t>2024/12/20</t>
  </si>
  <si>
    <t>2023年4月7日收到破产重整裁定，裁定进行破产重整，所有款项暂停对外支付；破产管理人发布公告，要求5月10日前申报债权；2023年5月8日进行债权申报，申报金额为2.39亿元；目前处于甲方招募阶段，我方已参与两轮投标；烟台市莱山区人民法院指定项目破产重整工作组烟台融祥房地产开发有限公司管理人与我方签订《莱山悦山海项目尾剩工程总承包合同》，合同含税造价29021万元。目前结算资料正在编制中。</t>
  </si>
  <si>
    <t>孙胜杰
于寿之</t>
  </si>
  <si>
    <t>孙孟君
毛建芳</t>
  </si>
  <si>
    <t>莱山悦山海项目总承包工程补充协议03（预制构件）</t>
  </si>
  <si>
    <t>莱山悦山海项目总承包工程补充协议04（基础回填）</t>
  </si>
  <si>
    <t>恒信·青州龙悦世家工程施工合同及补充协议</t>
  </si>
  <si>
    <t>2021/2/25</t>
  </si>
  <si>
    <t>2021/4/19</t>
  </si>
  <si>
    <t>2023/6/25</t>
  </si>
  <si>
    <t>2024/3/13</t>
  </si>
  <si>
    <t>2024/5/22</t>
  </si>
  <si>
    <t>2024/4/22</t>
  </si>
  <si>
    <t>该工程处于诉讼保全阶段。该项目分为两期，甲方分别授权两家事务所进行结算核对。除争议外一期和二期土建及安装都已核对完成，目前正在解决争议问题。</t>
  </si>
  <si>
    <t>李福军
王鹏伟</t>
  </si>
  <si>
    <t>蔡春改
于耀翔</t>
  </si>
  <si>
    <t>总经理签字：</t>
  </si>
  <si>
    <t>常务副总经理签字：</t>
  </si>
  <si>
    <t>分管副总经理签字：</t>
  </si>
  <si>
    <t>财务负责人签字：</t>
  </si>
  <si>
    <t>结算管理部门负责人签字：</t>
  </si>
  <si>
    <t>编制人签字：</t>
  </si>
</sst>
</file>

<file path=xl/styles.xml><?xml version="1.0" encoding="utf-8"?>
<styleSheet xmlns="http://schemas.openxmlformats.org/spreadsheetml/2006/main">
  <numFmts count="11">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0_);[Red]\(0\)"/>
    <numFmt numFmtId="177" formatCode="0_ "/>
    <numFmt numFmtId="178" formatCode="_(&quot;￥&quot;* #,##0.00_);_(&quot;￥&quot;* \(#,##0.00\);_(&quot;￥&quot;* &quot;-&quot;??_);_(@_)"/>
    <numFmt numFmtId="179" formatCode="0;_⧿"/>
    <numFmt numFmtId="180" formatCode="0;[Red]0"/>
    <numFmt numFmtId="181" formatCode="0.00;[Red]0.00"/>
    <numFmt numFmtId="182" formatCode="0.00_ "/>
  </numFmts>
  <fonts count="53">
    <font>
      <sz val="12"/>
      <name val="宋体"/>
      <charset val="134"/>
    </font>
    <font>
      <sz val="9"/>
      <name val="宋体"/>
      <charset val="134"/>
    </font>
    <font>
      <b/>
      <sz val="12"/>
      <name val="宋体"/>
      <charset val="134"/>
    </font>
    <font>
      <b/>
      <sz val="20"/>
      <name val="宋体"/>
      <charset val="134"/>
    </font>
    <font>
      <b/>
      <sz val="11"/>
      <name val="宋体"/>
      <charset val="134"/>
    </font>
    <font>
      <b/>
      <sz val="10"/>
      <name val="宋体"/>
      <charset val="134"/>
    </font>
    <font>
      <sz val="9"/>
      <name val="宋体"/>
      <charset val="134"/>
      <scheme val="minor"/>
    </font>
    <font>
      <b/>
      <sz val="9"/>
      <name val="宋体"/>
      <charset val="134"/>
    </font>
    <font>
      <b/>
      <sz val="9"/>
      <name val="宋体"/>
      <charset val="134"/>
      <scheme val="minor"/>
    </font>
    <font>
      <b/>
      <sz val="10"/>
      <name val="宋体"/>
      <charset val="134"/>
      <scheme val="minor"/>
    </font>
    <font>
      <sz val="9"/>
      <color rgb="FFFF0000"/>
      <name val="宋体"/>
      <charset val="134"/>
      <scheme val="minor"/>
    </font>
    <font>
      <sz val="9"/>
      <color rgb="FFFF0000"/>
      <name val="宋体"/>
      <charset val="134"/>
    </font>
    <font>
      <sz val="11"/>
      <name val="宋体"/>
      <charset val="134"/>
      <scheme val="minor"/>
    </font>
    <font>
      <sz val="14"/>
      <name val="宋体"/>
      <charset val="134"/>
      <scheme val="minor"/>
    </font>
    <font>
      <sz val="12"/>
      <name val="宋体"/>
      <charset val="134"/>
      <scheme val="minor"/>
    </font>
    <font>
      <b/>
      <sz val="14"/>
      <name val="宋体"/>
      <charset val="134"/>
      <scheme val="minor"/>
    </font>
    <font>
      <sz val="11"/>
      <color rgb="FF9C6500"/>
      <name val="宋体"/>
      <charset val="134"/>
      <scheme val="minor"/>
    </font>
    <font>
      <b/>
      <sz val="11"/>
      <color rgb="FF3F3F3F"/>
      <name val="宋体"/>
      <charset val="134"/>
      <scheme val="minor"/>
    </font>
    <font>
      <sz val="11"/>
      <color theme="1"/>
      <name val="宋体"/>
      <charset val="134"/>
      <scheme val="minor"/>
    </font>
    <font>
      <sz val="11"/>
      <color theme="0"/>
      <name val="宋体"/>
      <charset val="134"/>
      <scheme val="minor"/>
    </font>
    <font>
      <sz val="11"/>
      <color rgb="FF3F3F76"/>
      <name val="宋体"/>
      <charset val="134"/>
      <scheme val="minor"/>
    </font>
    <font>
      <sz val="11"/>
      <color rgb="FFFF0000"/>
      <name val="宋体"/>
      <charset val="134"/>
      <scheme val="minor"/>
    </font>
    <font>
      <b/>
      <sz val="11"/>
      <color theme="0"/>
      <name val="宋体"/>
      <charset val="134"/>
      <scheme val="minor"/>
    </font>
    <font>
      <b/>
      <sz val="13"/>
      <color theme="3"/>
      <name val="宋体"/>
      <charset val="134"/>
      <scheme val="minor"/>
    </font>
    <font>
      <sz val="11"/>
      <color rgb="FF9C0006"/>
      <name val="宋体"/>
      <charset val="134"/>
      <scheme val="minor"/>
    </font>
    <font>
      <b/>
      <sz val="11"/>
      <color indexed="52"/>
      <name val="Tahoma"/>
      <family val="2"/>
      <charset val="134"/>
    </font>
    <font>
      <sz val="11"/>
      <color indexed="8"/>
      <name val="Tahoma"/>
      <family val="2"/>
      <charset val="134"/>
    </font>
    <font>
      <sz val="11"/>
      <color rgb="FFFA7D00"/>
      <name val="宋体"/>
      <charset val="134"/>
      <scheme val="minor"/>
    </font>
    <font>
      <sz val="11"/>
      <color rgb="FF006100"/>
      <name val="宋体"/>
      <charset val="134"/>
      <scheme val="minor"/>
    </font>
    <font>
      <b/>
      <sz val="11"/>
      <color rgb="FFFA7D00"/>
      <name val="宋体"/>
      <charset val="134"/>
      <scheme val="minor"/>
    </font>
    <font>
      <b/>
      <sz val="11"/>
      <color theme="3"/>
      <name val="宋体"/>
      <charset val="134"/>
      <scheme val="minor"/>
    </font>
    <font>
      <b/>
      <sz val="18"/>
      <color theme="3"/>
      <name val="宋体"/>
      <charset val="134"/>
      <scheme val="major"/>
    </font>
    <font>
      <u/>
      <sz val="11"/>
      <color rgb="FF0000FF"/>
      <name val="宋体"/>
      <charset val="134"/>
      <scheme val="minor"/>
    </font>
    <font>
      <i/>
      <sz val="11"/>
      <color indexed="23"/>
      <name val="Tahoma"/>
      <family val="2"/>
      <charset val="134"/>
    </font>
    <font>
      <b/>
      <sz val="11"/>
      <color theme="1"/>
      <name val="宋体"/>
      <charset val="134"/>
      <scheme val="minor"/>
    </font>
    <font>
      <i/>
      <sz val="11"/>
      <color rgb="FF7F7F7F"/>
      <name val="宋体"/>
      <charset val="134"/>
      <scheme val="minor"/>
    </font>
    <font>
      <u/>
      <sz val="11"/>
      <color rgb="FF800080"/>
      <name val="宋体"/>
      <charset val="134"/>
      <scheme val="minor"/>
    </font>
    <font>
      <b/>
      <sz val="15"/>
      <color theme="3"/>
      <name val="宋体"/>
      <charset val="134"/>
      <scheme val="minor"/>
    </font>
    <font>
      <sz val="11"/>
      <color indexed="60"/>
      <name val="Tahoma"/>
      <family val="2"/>
      <charset val="134"/>
    </font>
    <font>
      <sz val="11"/>
      <color indexed="62"/>
      <name val="Tahoma"/>
      <family val="2"/>
      <charset val="134"/>
    </font>
    <font>
      <sz val="11"/>
      <color indexed="9"/>
      <name val="Tahoma"/>
      <family val="2"/>
      <charset val="134"/>
    </font>
    <font>
      <b/>
      <sz val="11"/>
      <color indexed="9"/>
      <name val="Tahoma"/>
      <family val="2"/>
      <charset val="134"/>
    </font>
    <font>
      <b/>
      <sz val="11"/>
      <color indexed="63"/>
      <name val="Tahoma"/>
      <family val="2"/>
      <charset val="134"/>
    </font>
    <font>
      <b/>
      <sz val="11"/>
      <color indexed="8"/>
      <name val="Tahoma"/>
      <family val="2"/>
      <charset val="134"/>
    </font>
    <font>
      <b/>
      <sz val="11"/>
      <color indexed="56"/>
      <name val="Tahoma"/>
      <family val="2"/>
      <charset val="134"/>
    </font>
    <font>
      <b/>
      <sz val="18"/>
      <color indexed="56"/>
      <name val="宋体"/>
      <charset val="134"/>
    </font>
    <font>
      <b/>
      <sz val="15"/>
      <color indexed="56"/>
      <name val="Tahoma"/>
      <family val="2"/>
      <charset val="134"/>
    </font>
    <font>
      <sz val="12"/>
      <color theme="1"/>
      <name val="宋体"/>
      <charset val="134"/>
      <scheme val="minor"/>
    </font>
    <font>
      <b/>
      <sz val="13"/>
      <color indexed="56"/>
      <name val="Tahoma"/>
      <family val="2"/>
      <charset val="134"/>
    </font>
    <font>
      <sz val="11"/>
      <color indexed="20"/>
      <name val="Tahoma"/>
      <family val="2"/>
      <charset val="134"/>
    </font>
    <font>
      <sz val="11"/>
      <color indexed="17"/>
      <name val="Tahoma"/>
      <family val="2"/>
      <charset val="134"/>
    </font>
    <font>
      <sz val="11"/>
      <color indexed="10"/>
      <name val="Tahoma"/>
      <family val="2"/>
      <charset val="134"/>
    </font>
    <font>
      <sz val="11"/>
      <color indexed="52"/>
      <name val="Tahoma"/>
      <family val="2"/>
      <charset val="134"/>
    </font>
  </fonts>
  <fills count="56">
    <fill>
      <patternFill patternType="none"/>
    </fill>
    <fill>
      <patternFill patternType="gray125"/>
    </fill>
    <fill>
      <patternFill patternType="solid">
        <fgColor rgb="FFFFEB9C"/>
        <bgColor indexed="64"/>
      </patternFill>
    </fill>
    <fill>
      <patternFill patternType="solid">
        <fgColor rgb="FFF2F2F2"/>
        <bgColor indexed="64"/>
      </patternFill>
    </fill>
    <fill>
      <patternFill patternType="solid">
        <fgColor theme="4" tint="0.799981688894314"/>
        <bgColor indexed="64"/>
      </patternFill>
    </fill>
    <fill>
      <patternFill patternType="solid">
        <fgColor theme="4"/>
        <bgColor indexed="64"/>
      </patternFill>
    </fill>
    <fill>
      <patternFill patternType="solid">
        <fgColor rgb="FFFFCC99"/>
        <bgColor indexed="64"/>
      </patternFill>
    </fill>
    <fill>
      <patternFill patternType="solid">
        <fgColor rgb="FFA5A5A5"/>
        <bgColor indexed="64"/>
      </patternFill>
    </fill>
    <fill>
      <patternFill patternType="solid">
        <fgColor rgb="FFFFC7CE"/>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indexed="22"/>
        <bgColor indexed="64"/>
      </patternFill>
    </fill>
    <fill>
      <patternFill patternType="solid">
        <fgColor theme="7" tint="0.799981688894314"/>
        <bgColor indexed="64"/>
      </patternFill>
    </fill>
    <fill>
      <patternFill patternType="solid">
        <fgColor indexed="31"/>
        <bgColor indexed="64"/>
      </patternFill>
    </fill>
    <fill>
      <patternFill patternType="solid">
        <fgColor theme="6"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6"/>
        <bgColor indexed="64"/>
      </patternFill>
    </fill>
    <fill>
      <patternFill patternType="solid">
        <fgColor theme="7" tint="0.399975585192419"/>
        <bgColor indexed="64"/>
      </patternFill>
    </fill>
    <fill>
      <patternFill patternType="solid">
        <fgColor indexed="42"/>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C6EFCE"/>
        <bgColor indexed="64"/>
      </patternFill>
    </fill>
    <fill>
      <patternFill patternType="solid">
        <fgColor indexed="46"/>
        <bgColor indexed="64"/>
      </patternFill>
    </fill>
    <fill>
      <patternFill patternType="solid">
        <fgColor indexed="44"/>
        <bgColor indexed="64"/>
      </patternFill>
    </fill>
    <fill>
      <patternFill patternType="solid">
        <fgColor indexed="45"/>
        <bgColor indexed="64"/>
      </patternFill>
    </fill>
    <fill>
      <patternFill patternType="solid">
        <fgColor theme="4" tint="0.599993896298105"/>
        <bgColor indexed="64"/>
      </patternFill>
    </fill>
    <fill>
      <patternFill patternType="solid">
        <fgColor rgb="FFFFFFCC"/>
        <bgColor indexed="64"/>
      </patternFill>
    </fill>
    <fill>
      <patternFill patternType="solid">
        <fgColor indexed="43"/>
        <bgColor indexed="64"/>
      </patternFill>
    </fill>
    <fill>
      <patternFill patternType="solid">
        <fgColor indexed="47"/>
        <bgColor indexed="64"/>
      </patternFill>
    </fill>
    <fill>
      <patternFill patternType="solid">
        <fgColor indexed="40"/>
        <bgColor indexed="64"/>
      </patternFill>
    </fill>
    <fill>
      <patternFill patternType="solid">
        <fgColor indexed="10"/>
        <bgColor indexed="64"/>
      </patternFill>
    </fill>
    <fill>
      <patternFill patternType="solid">
        <fgColor indexed="29"/>
        <bgColor indexed="64"/>
      </patternFill>
    </fill>
    <fill>
      <patternFill patternType="solid">
        <fgColor indexed="62"/>
        <bgColor indexed="64"/>
      </patternFill>
    </fill>
    <fill>
      <patternFill patternType="solid">
        <fgColor indexed="55"/>
        <bgColor indexed="64"/>
      </patternFill>
    </fill>
    <fill>
      <patternFill patternType="solid">
        <fgColor indexed="36"/>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indexed="53"/>
        <bgColor indexed="64"/>
      </patternFill>
    </fill>
    <fill>
      <patternFill patternType="solid">
        <fgColor theme="5"/>
        <bgColor indexed="64"/>
      </patternFill>
    </fill>
    <fill>
      <patternFill patternType="solid">
        <fgColor theme="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7"/>
        <bgColor indexed="64"/>
      </patternFill>
    </fill>
    <fill>
      <patternFill patternType="solid">
        <fgColor indexed="27"/>
        <bgColor indexed="64"/>
      </patternFill>
    </fill>
    <fill>
      <patternFill patternType="solid">
        <fgColor indexed="11"/>
        <bgColor indexed="64"/>
      </patternFill>
    </fill>
    <fill>
      <patternFill patternType="solid">
        <fgColor indexed="51"/>
        <bgColor indexed="64"/>
      </patternFill>
    </fill>
    <fill>
      <patternFill patternType="solid">
        <fgColor indexed="52"/>
        <bgColor indexed="64"/>
      </patternFill>
    </fill>
    <fill>
      <patternFill patternType="solid">
        <fgColor indexed="30"/>
        <bgColor indexed="64"/>
      </patternFill>
    </fill>
    <fill>
      <patternFill patternType="solid">
        <fgColor indexed="49"/>
        <bgColor indexed="64"/>
      </patternFill>
    </fill>
    <fill>
      <patternFill patternType="solid">
        <fgColor indexed="26"/>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indexed="8"/>
      </right>
      <top style="thin">
        <color auto="1"/>
      </top>
      <bottom style="thin">
        <color indexed="8"/>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indexed="23"/>
      </left>
      <right style="thin">
        <color indexed="23"/>
      </right>
      <top style="thin">
        <color indexed="23"/>
      </top>
      <bottom style="thin">
        <color indexed="23"/>
      </bottom>
      <diagonal/>
    </border>
    <border>
      <left/>
      <right/>
      <top/>
      <bottom style="double">
        <color rgb="FFFF8001"/>
      </bottom>
      <diagonal/>
    </border>
    <border>
      <left/>
      <right/>
      <top/>
      <bottom style="medium">
        <color theme="4" tint="0.399975585192419"/>
      </bottom>
      <diagonal/>
    </border>
    <border>
      <left/>
      <right/>
      <top style="thin">
        <color theme="4"/>
      </top>
      <bottom style="double">
        <color theme="4"/>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right/>
      <top/>
      <bottom style="thick">
        <color indexed="22"/>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s>
  <cellStyleXfs count="160">
    <xf numFmtId="0" fontId="0" fillId="0" borderId="0">
      <alignment vertical="center"/>
    </xf>
    <xf numFmtId="42" fontId="0" fillId="0" borderId="0" applyFont="0" applyFill="0" applyBorder="0" applyAlignment="0" applyProtection="0">
      <alignment vertical="center"/>
    </xf>
    <xf numFmtId="0" fontId="26" fillId="13" borderId="0" applyNumberFormat="0" applyBorder="0" applyAlignment="0" applyProtection="0">
      <alignment vertical="center"/>
    </xf>
    <xf numFmtId="0" fontId="18" fillId="17" borderId="0" applyNumberFormat="0" applyBorder="0" applyAlignment="0" applyProtection="0">
      <alignment vertical="center"/>
    </xf>
    <xf numFmtId="0" fontId="20" fillId="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14" borderId="0" applyNumberFormat="0" applyBorder="0" applyAlignment="0" applyProtection="0">
      <alignment vertical="center"/>
    </xf>
    <xf numFmtId="0" fontId="25" fillId="11" borderId="11" applyNumberFormat="0" applyAlignment="0" applyProtection="0">
      <alignment vertical="center"/>
    </xf>
    <xf numFmtId="0" fontId="24" fillId="8" borderId="0" applyNumberFormat="0" applyBorder="0" applyAlignment="0" applyProtection="0">
      <alignment vertical="center"/>
    </xf>
    <xf numFmtId="43" fontId="0" fillId="0" borderId="0" applyFont="0" applyFill="0" applyBorder="0" applyAlignment="0" applyProtection="0">
      <alignment vertical="center"/>
    </xf>
    <xf numFmtId="0" fontId="26" fillId="20" borderId="0" applyNumberFormat="0" applyBorder="0" applyAlignment="0" applyProtection="0">
      <alignment vertical="center"/>
    </xf>
    <xf numFmtId="0" fontId="19" fillId="23" borderId="0" applyNumberFormat="0" applyBorder="0" applyAlignment="0" applyProtection="0">
      <alignment vertical="center"/>
    </xf>
    <xf numFmtId="0" fontId="32" fillId="0" borderId="0" applyNumberFormat="0" applyFill="0" applyBorder="0" applyAlignment="0" applyProtection="0">
      <alignment vertical="center"/>
    </xf>
    <xf numFmtId="0" fontId="26" fillId="26" borderId="0" applyNumberFormat="0" applyBorder="0" applyAlignment="0" applyProtection="0">
      <alignment vertical="center"/>
    </xf>
    <xf numFmtId="9" fontId="0" fillId="0" borderId="0" applyFont="0" applyFill="0" applyBorder="0" applyAlignment="0" applyProtection="0">
      <alignment vertical="center"/>
    </xf>
    <xf numFmtId="0" fontId="26" fillId="27" borderId="0" applyNumberFormat="0" applyBorder="0" applyAlignment="0" applyProtection="0">
      <alignment vertical="center"/>
    </xf>
    <xf numFmtId="0" fontId="36" fillId="0" borderId="0" applyNumberFormat="0" applyFill="0" applyBorder="0" applyAlignment="0" applyProtection="0">
      <alignment vertical="center"/>
    </xf>
    <xf numFmtId="0" fontId="0" fillId="29" borderId="16" applyNumberFormat="0" applyFont="0" applyAlignment="0" applyProtection="0">
      <alignment vertical="center"/>
    </xf>
    <xf numFmtId="0" fontId="0" fillId="0" borderId="0" applyBorder="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9" fillId="10" borderId="0" applyNumberFormat="0" applyBorder="0" applyAlignment="0" applyProtection="0">
      <alignment vertical="center"/>
    </xf>
    <xf numFmtId="0" fontId="2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0" borderId="0" applyBorder="0">
      <alignment vertical="center"/>
    </xf>
    <xf numFmtId="0" fontId="40" fillId="34" borderId="0" applyNumberFormat="0" applyBorder="0" applyAlignment="0" applyProtection="0">
      <alignment vertical="center"/>
    </xf>
    <xf numFmtId="0" fontId="40" fillId="37" borderId="0" applyNumberFormat="0" applyBorder="0" applyAlignment="0" applyProtection="0">
      <alignment vertical="center"/>
    </xf>
    <xf numFmtId="0" fontId="0" fillId="32" borderId="0" applyNumberFormat="0" applyFont="0" applyBorder="0" applyProtection="0">
      <alignment vertical="center"/>
    </xf>
    <xf numFmtId="0" fontId="35" fillId="0" borderId="0" applyNumberFormat="0" applyFill="0" applyBorder="0" applyAlignment="0" applyProtection="0">
      <alignment vertical="center"/>
    </xf>
    <xf numFmtId="0" fontId="37" fillId="0" borderId="15" applyNumberFormat="0" applyFill="0" applyAlignment="0" applyProtection="0">
      <alignment vertical="center"/>
    </xf>
    <xf numFmtId="0" fontId="23" fillId="0" borderId="10" applyNumberFormat="0" applyFill="0" applyAlignment="0" applyProtection="0">
      <alignment vertical="center"/>
    </xf>
    <xf numFmtId="0" fontId="19" fillId="40" borderId="0" applyNumberFormat="0" applyBorder="0" applyAlignment="0" applyProtection="0">
      <alignment vertical="center"/>
    </xf>
    <xf numFmtId="0" fontId="30" fillId="0" borderId="13" applyNumberFormat="0" applyFill="0" applyAlignment="0" applyProtection="0">
      <alignment vertical="center"/>
    </xf>
    <xf numFmtId="0" fontId="19" fillId="19" borderId="0" applyNumberFormat="0" applyBorder="0" applyAlignment="0" applyProtection="0">
      <alignment vertical="center"/>
    </xf>
    <xf numFmtId="0" fontId="17" fillId="3" borderId="7" applyNumberFormat="0" applyAlignment="0" applyProtection="0">
      <alignment vertical="center"/>
    </xf>
    <xf numFmtId="0" fontId="29" fillId="3" borderId="8" applyNumberFormat="0" applyAlignment="0" applyProtection="0">
      <alignment vertical="center"/>
    </xf>
    <xf numFmtId="0" fontId="22" fillId="7" borderId="9" applyNumberFormat="0" applyAlignment="0" applyProtection="0">
      <alignment vertical="center"/>
    </xf>
    <xf numFmtId="0" fontId="26" fillId="25" borderId="0" applyNumberFormat="0" applyBorder="0" applyAlignment="0" applyProtection="0">
      <alignment vertical="center"/>
    </xf>
    <xf numFmtId="0" fontId="18" fillId="16" borderId="0" applyNumberFormat="0" applyBorder="0" applyAlignment="0" applyProtection="0">
      <alignment vertical="center"/>
    </xf>
    <xf numFmtId="0" fontId="19" fillId="42" borderId="0" applyNumberFormat="0" applyBorder="0" applyAlignment="0" applyProtection="0">
      <alignment vertical="center"/>
    </xf>
    <xf numFmtId="0" fontId="27" fillId="0" borderId="12" applyNumberFormat="0" applyFill="0" applyAlignment="0" applyProtection="0">
      <alignment vertical="center"/>
    </xf>
    <xf numFmtId="0" fontId="26" fillId="26" borderId="0" applyNumberFormat="0" applyBorder="0" applyAlignment="0" applyProtection="0">
      <alignment vertical="center"/>
    </xf>
    <xf numFmtId="0" fontId="34" fillId="0" borderId="14" applyNumberFormat="0" applyFill="0" applyAlignment="0" applyProtection="0">
      <alignment vertical="center"/>
    </xf>
    <xf numFmtId="0" fontId="28" fillId="24" borderId="0" applyNumberFormat="0" applyBorder="0" applyAlignment="0" applyProtection="0">
      <alignment vertical="center"/>
    </xf>
    <xf numFmtId="0" fontId="16" fillId="2" borderId="0" applyNumberFormat="0" applyBorder="0" applyAlignment="0" applyProtection="0">
      <alignment vertical="center"/>
    </xf>
    <xf numFmtId="0" fontId="18" fillId="39" borderId="0" applyNumberFormat="0" applyBorder="0" applyAlignment="0" applyProtection="0">
      <alignment vertical="center"/>
    </xf>
    <xf numFmtId="0" fontId="19" fillId="5" borderId="0" applyNumberFormat="0" applyBorder="0" applyAlignment="0" applyProtection="0">
      <alignment vertical="center"/>
    </xf>
    <xf numFmtId="0" fontId="18" fillId="4" borderId="0" applyNumberFormat="0" applyBorder="0" applyAlignment="0" applyProtection="0">
      <alignment vertical="center"/>
    </xf>
    <xf numFmtId="0" fontId="18" fillId="28" borderId="0" applyNumberFormat="0" applyBorder="0" applyAlignment="0" applyProtection="0">
      <alignment vertical="center"/>
    </xf>
    <xf numFmtId="0" fontId="18" fillId="9" borderId="0" applyNumberFormat="0" applyBorder="0" applyAlignment="0" applyProtection="0">
      <alignment vertical="center"/>
    </xf>
    <xf numFmtId="0" fontId="42" fillId="11" borderId="18" applyNumberFormat="0" applyAlignment="0" applyProtection="0">
      <alignment vertical="center"/>
    </xf>
    <xf numFmtId="0" fontId="18" fillId="45" borderId="0" applyNumberFormat="0" applyBorder="0" applyAlignment="0" applyProtection="0">
      <alignment vertical="center"/>
    </xf>
    <xf numFmtId="0" fontId="19" fillId="18" borderId="0" applyNumberFormat="0" applyBorder="0" applyAlignment="0" applyProtection="0">
      <alignment vertical="center"/>
    </xf>
    <xf numFmtId="0" fontId="26" fillId="25" borderId="0" applyNumberFormat="0" applyBorder="0" applyAlignment="0" applyProtection="0">
      <alignment vertical="center"/>
    </xf>
    <xf numFmtId="0" fontId="0" fillId="0" borderId="0" applyBorder="0">
      <alignment vertical="center"/>
    </xf>
    <xf numFmtId="0" fontId="0" fillId="32" borderId="0" applyNumberFormat="0" applyFont="0" applyBorder="0" applyProtection="0">
      <alignment vertical="center"/>
    </xf>
    <xf numFmtId="0" fontId="19" fillId="22"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9" fillId="15" borderId="0" applyNumberFormat="0" applyBorder="0" applyAlignment="0" applyProtection="0">
      <alignment vertical="center"/>
    </xf>
    <xf numFmtId="0" fontId="18" fillId="38" borderId="0" applyNumberFormat="0" applyBorder="0" applyAlignment="0" applyProtection="0">
      <alignment vertical="center"/>
    </xf>
    <xf numFmtId="0" fontId="19" fillId="44" borderId="0" applyNumberFormat="0" applyBorder="0" applyAlignment="0" applyProtection="0">
      <alignment vertical="center"/>
    </xf>
    <xf numFmtId="0" fontId="19" fillId="43" borderId="0" applyNumberFormat="0" applyBorder="0" applyAlignment="0" applyProtection="0">
      <alignment vertical="center"/>
    </xf>
    <xf numFmtId="0" fontId="38" fillId="30" borderId="0" applyNumberFormat="0" applyBorder="0" applyAlignment="0" applyProtection="0">
      <alignment vertical="center"/>
    </xf>
    <xf numFmtId="0" fontId="18" fillId="46" borderId="0" applyNumberFormat="0" applyBorder="0" applyAlignment="0" applyProtection="0">
      <alignment vertical="center"/>
    </xf>
    <xf numFmtId="0" fontId="19" fillId="47" borderId="0" applyNumberFormat="0" applyBorder="0" applyAlignment="0" applyProtection="0">
      <alignment vertical="center"/>
    </xf>
    <xf numFmtId="0" fontId="26" fillId="20" borderId="0" applyNumberFormat="0" applyBorder="0" applyAlignment="0" applyProtection="0">
      <alignment vertical="center"/>
    </xf>
    <xf numFmtId="0" fontId="26" fillId="13" borderId="0" applyNumberFormat="0" applyBorder="0" applyAlignment="0" applyProtection="0">
      <alignment vertical="center"/>
    </xf>
    <xf numFmtId="0" fontId="26" fillId="27" borderId="0" applyNumberFormat="0" applyBorder="0" applyAlignment="0" applyProtection="0">
      <alignment vertical="center"/>
    </xf>
    <xf numFmtId="0" fontId="42" fillId="11" borderId="18" applyNumberFormat="0" applyAlignment="0" applyProtection="0">
      <alignment vertical="center"/>
    </xf>
    <xf numFmtId="0" fontId="26" fillId="25" borderId="0" applyNumberFormat="0" applyBorder="0" applyAlignment="0" applyProtection="0">
      <alignment vertical="center"/>
    </xf>
    <xf numFmtId="0" fontId="0" fillId="0" borderId="0">
      <alignment vertical="center"/>
    </xf>
    <xf numFmtId="0" fontId="26" fillId="49" borderId="0" applyNumberFormat="0" applyBorder="0" applyAlignment="0" applyProtection="0">
      <alignment vertical="center"/>
    </xf>
    <xf numFmtId="0" fontId="26" fillId="49" borderId="0" applyNumberFormat="0" applyBorder="0" applyAlignment="0" applyProtection="0">
      <alignment vertical="center"/>
    </xf>
    <xf numFmtId="0" fontId="26" fillId="31" borderId="0" applyNumberFormat="0" applyBorder="0" applyAlignment="0" applyProtection="0">
      <alignment vertical="center"/>
    </xf>
    <xf numFmtId="0" fontId="26" fillId="31" borderId="0" applyNumberFormat="0" applyBorder="0" applyAlignment="0" applyProtection="0">
      <alignment vertical="center"/>
    </xf>
    <xf numFmtId="0" fontId="26" fillId="34" borderId="0" applyNumberFormat="0" applyBorder="0" applyAlignment="0" applyProtection="0">
      <alignment vertical="center"/>
    </xf>
    <xf numFmtId="0" fontId="26" fillId="34" borderId="0" applyNumberFormat="0" applyBorder="0" applyAlignment="0" applyProtection="0">
      <alignment vertical="center"/>
    </xf>
    <xf numFmtId="0" fontId="26" fillId="50" borderId="0" applyNumberFormat="0" applyBorder="0" applyAlignment="0" applyProtection="0">
      <alignment vertical="center"/>
    </xf>
    <xf numFmtId="0" fontId="25" fillId="11" borderId="11" applyNumberFormat="0" applyAlignment="0" applyProtection="0">
      <alignment vertical="center"/>
    </xf>
    <xf numFmtId="0" fontId="26" fillId="50" borderId="0" applyNumberFormat="0" applyBorder="0" applyAlignment="0" applyProtection="0">
      <alignment vertical="center"/>
    </xf>
    <xf numFmtId="0" fontId="26" fillId="25" borderId="0" applyNumberFormat="0" applyBorder="0" applyAlignment="0" applyProtection="0">
      <alignment vertical="center"/>
    </xf>
    <xf numFmtId="0" fontId="41" fillId="36" borderId="17" applyNumberFormat="0" applyAlignment="0" applyProtection="0">
      <alignment vertical="center"/>
    </xf>
    <xf numFmtId="0" fontId="26" fillId="26" borderId="0" applyNumberFormat="0" applyBorder="0" applyAlignment="0" applyProtection="0">
      <alignment vertical="center"/>
    </xf>
    <xf numFmtId="0" fontId="26" fillId="26" borderId="0" applyNumberFormat="0" applyBorder="0" applyAlignment="0" applyProtection="0">
      <alignment vertical="center"/>
    </xf>
    <xf numFmtId="0" fontId="26" fillId="51" borderId="0" applyNumberFormat="0" applyBorder="0" applyAlignment="0" applyProtection="0">
      <alignment vertical="center"/>
    </xf>
    <xf numFmtId="0" fontId="38" fillId="30" borderId="0" applyNumberFormat="0" applyBorder="0" applyAlignment="0" applyProtection="0">
      <alignment vertical="center"/>
    </xf>
    <xf numFmtId="0" fontId="26" fillId="51" borderId="0" applyNumberFormat="0" applyBorder="0" applyAlignment="0" applyProtection="0">
      <alignment vertical="center"/>
    </xf>
    <xf numFmtId="0" fontId="40" fillId="53" borderId="0" applyNumberFormat="0" applyBorder="0" applyAlignment="0" applyProtection="0">
      <alignment vertical="center"/>
    </xf>
    <xf numFmtId="0" fontId="40" fillId="53" borderId="0" applyNumberFormat="0" applyBorder="0" applyAlignment="0" applyProtection="0">
      <alignment vertical="center"/>
    </xf>
    <xf numFmtId="0" fontId="40" fillId="34" borderId="0" applyNumberFormat="0" applyBorder="0" applyAlignment="0" applyProtection="0">
      <alignment vertical="center"/>
    </xf>
    <xf numFmtId="0" fontId="0" fillId="0" borderId="0">
      <alignment vertical="center"/>
    </xf>
    <xf numFmtId="0" fontId="40" fillId="50" borderId="0" applyNumberFormat="0" applyBorder="0" applyAlignment="0" applyProtection="0">
      <alignment vertical="center"/>
    </xf>
    <xf numFmtId="0" fontId="40" fillId="50"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54" borderId="0" applyNumberFormat="0" applyBorder="0" applyAlignment="0" applyProtection="0">
      <alignment vertical="center"/>
    </xf>
    <xf numFmtId="0" fontId="40" fillId="54" borderId="0" applyNumberFormat="0" applyBorder="0" applyAlignment="0" applyProtection="0">
      <alignment vertical="center"/>
    </xf>
    <xf numFmtId="0" fontId="40" fillId="52" borderId="0" applyNumberFormat="0" applyBorder="0" applyAlignment="0" applyProtection="0">
      <alignment vertical="center"/>
    </xf>
    <xf numFmtId="0" fontId="40" fillId="52" borderId="0" applyNumberFormat="0" applyBorder="0" applyAlignment="0" applyProtection="0">
      <alignment vertical="center"/>
    </xf>
    <xf numFmtId="0" fontId="46" fillId="0" borderId="20" applyNumberFormat="0" applyFill="0" applyAlignment="0" applyProtection="0">
      <alignment vertical="center"/>
    </xf>
    <xf numFmtId="0" fontId="46" fillId="0" borderId="20"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4" fillId="0" borderId="21" applyNumberFormat="0" applyFill="0" applyAlignment="0" applyProtection="0">
      <alignment vertical="center"/>
    </xf>
    <xf numFmtId="0" fontId="44" fillId="0" borderId="21"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0" fillId="0" borderId="0"/>
    <xf numFmtId="0" fontId="47" fillId="0" borderId="0">
      <alignment vertical="center"/>
    </xf>
    <xf numFmtId="0" fontId="47" fillId="0" borderId="0" applyBorder="0">
      <alignment vertical="center"/>
    </xf>
    <xf numFmtId="0" fontId="0" fillId="0" borderId="0">
      <alignment vertical="center"/>
    </xf>
    <xf numFmtId="0" fontId="0" fillId="0" borderId="0" applyBorder="0">
      <alignment vertical="center"/>
    </xf>
    <xf numFmtId="0" fontId="0" fillId="0" borderId="0">
      <alignment vertical="center"/>
    </xf>
    <xf numFmtId="0" fontId="0" fillId="0" borderId="0" applyBorder="0">
      <alignment vertical="center"/>
    </xf>
    <xf numFmtId="0" fontId="0" fillId="0" borderId="0" applyBorder="0"/>
    <xf numFmtId="0" fontId="0" fillId="0" borderId="0">
      <alignment vertical="center"/>
    </xf>
    <xf numFmtId="0" fontId="0" fillId="0" borderId="0" applyBorder="0">
      <alignment vertical="center"/>
    </xf>
    <xf numFmtId="0" fontId="0" fillId="0" borderId="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0" fillId="0" borderId="0" applyBorder="0">
      <alignment vertical="center"/>
    </xf>
    <xf numFmtId="0" fontId="50" fillId="20" borderId="0" applyNumberFormat="0" applyBorder="0" applyAlignment="0" applyProtection="0">
      <alignment vertical="center"/>
    </xf>
    <xf numFmtId="0" fontId="50" fillId="20" borderId="0" applyNumberFormat="0" applyBorder="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44"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0" fontId="41" fillId="36" borderId="17" applyNumberFormat="0" applyAlignment="0" applyProtection="0">
      <alignment vertical="center"/>
    </xf>
    <xf numFmtId="0" fontId="33"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4" applyNumberFormat="0" applyFill="0" applyAlignment="0" applyProtection="0">
      <alignment vertical="center"/>
    </xf>
    <xf numFmtId="0" fontId="52" fillId="0" borderId="24" applyNumberFormat="0" applyFill="0" applyAlignment="0" applyProtection="0">
      <alignment vertical="center"/>
    </xf>
    <xf numFmtId="0" fontId="40" fillId="35" borderId="0" applyNumberFormat="0" applyBorder="0" applyAlignment="0" applyProtection="0">
      <alignment vertical="center"/>
    </xf>
    <xf numFmtId="0" fontId="40" fillId="35" borderId="0" applyNumberFormat="0" applyBorder="0" applyAlignment="0" applyProtection="0">
      <alignment vertical="center"/>
    </xf>
    <xf numFmtId="0" fontId="40" fillId="33" borderId="0" applyNumberFormat="0" applyBorder="0" applyAlignment="0" applyProtection="0">
      <alignment vertical="center"/>
    </xf>
    <xf numFmtId="0" fontId="40" fillId="33"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37" borderId="0" applyNumberFormat="0" applyBorder="0" applyAlignment="0" applyProtection="0">
      <alignment vertical="center"/>
    </xf>
    <xf numFmtId="0" fontId="40" fillId="54" borderId="0" applyNumberFormat="0" applyBorder="0" applyAlignment="0" applyProtection="0">
      <alignment vertical="center"/>
    </xf>
    <xf numFmtId="0" fontId="40" fillId="54"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39" fillId="31" borderId="11" applyNumberFormat="0" applyAlignment="0" applyProtection="0">
      <alignment vertical="center"/>
    </xf>
    <xf numFmtId="0" fontId="39" fillId="31" borderId="11" applyNumberFormat="0" applyAlignment="0" applyProtection="0">
      <alignment vertical="center"/>
    </xf>
    <xf numFmtId="0" fontId="0" fillId="55" borderId="23" applyNumberFormat="0" applyFont="0" applyAlignment="0" applyProtection="0">
      <alignment vertical="center"/>
    </xf>
  </cellStyleXfs>
  <cellXfs count="164">
    <xf numFmtId="0" fontId="0" fillId="0" borderId="0" xfId="0">
      <alignment vertical="center"/>
    </xf>
    <xf numFmtId="0" fontId="0" fillId="0" borderId="0" xfId="0" applyFont="1" applyFill="1" applyAlignment="1">
      <alignment horizontal="center" vertical="center"/>
    </xf>
    <xf numFmtId="0" fontId="1" fillId="0" borderId="0" xfId="0" applyFont="1" applyFill="1" applyAlignment="1">
      <alignment horizontal="center" vertical="center"/>
    </xf>
    <xf numFmtId="0" fontId="0" fillId="0" borderId="0" xfId="0" applyFont="1" applyFill="1">
      <alignment vertical="center"/>
    </xf>
    <xf numFmtId="0" fontId="2" fillId="0" borderId="0" xfId="0" applyFont="1" applyFill="1" applyAlignment="1">
      <alignment horizontal="center" vertical="center"/>
    </xf>
    <xf numFmtId="0" fontId="0" fillId="0" borderId="0" xfId="0" applyFont="1">
      <alignment vertical="center"/>
    </xf>
    <xf numFmtId="0" fontId="2" fillId="0" borderId="0" xfId="0" applyFont="1">
      <alignment vertical="center"/>
    </xf>
    <xf numFmtId="0" fontId="0" fillId="0" borderId="0" xfId="0" applyFont="1" applyFill="1" applyAlignment="1">
      <alignment horizontal="left" vertical="center"/>
    </xf>
    <xf numFmtId="0" fontId="0" fillId="0" borderId="0" xfId="0" applyFont="1" applyFill="1" applyAlignment="1">
      <alignment horizontal="center" vertical="center" wrapText="1"/>
    </xf>
    <xf numFmtId="177" fontId="0" fillId="0" borderId="0" xfId="0" applyNumberFormat="1" applyFont="1" applyFill="1" applyAlignment="1">
      <alignment horizontal="center" vertical="center" wrapText="1"/>
    </xf>
    <xf numFmtId="0" fontId="2" fillId="0" borderId="0" xfId="0" applyNumberFormat="1" applyFont="1" applyAlignment="1">
      <alignment vertical="center" wrapText="1"/>
    </xf>
    <xf numFmtId="176" fontId="2" fillId="0" borderId="0" xfId="0" applyNumberFormat="1" applyFont="1" applyAlignment="1">
      <alignment vertical="center" wrapText="1"/>
    </xf>
    <xf numFmtId="0" fontId="0" fillId="0" borderId="0" xfId="0" applyFont="1" applyAlignment="1">
      <alignment horizontal="left"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4" fillId="0" borderId="0" xfId="0" applyFont="1" applyAlignment="1">
      <alignment horizontal="left" vertical="center" wrapText="1"/>
    </xf>
    <xf numFmtId="0" fontId="4" fillId="0" borderId="0" xfId="0" applyFont="1" applyFill="1" applyAlignment="1">
      <alignment horizontal="left" vertical="center" wrapText="1"/>
    </xf>
    <xf numFmtId="0" fontId="5" fillId="0" borderId="1" xfId="56" applyFont="1" applyFill="1" applyBorder="1" applyAlignment="1">
      <alignment horizontal="center" vertical="center" wrapText="1"/>
    </xf>
    <xf numFmtId="0" fontId="5" fillId="0" borderId="2" xfId="56" applyFont="1" applyFill="1" applyBorder="1" applyAlignment="1">
      <alignment horizontal="center" vertical="center" wrapText="1"/>
    </xf>
    <xf numFmtId="0" fontId="5" fillId="0" borderId="3" xfId="56" applyFont="1" applyFill="1" applyBorder="1" applyAlignment="1">
      <alignment horizontal="center" vertical="center" wrapText="1"/>
    </xf>
    <xf numFmtId="0" fontId="1" fillId="0" borderId="1" xfId="56" applyFont="1" applyFill="1" applyBorder="1" applyAlignment="1">
      <alignment horizontal="center" vertical="center" wrapText="1"/>
    </xf>
    <xf numFmtId="0" fontId="6" fillId="0" borderId="1" xfId="28" applyFont="1" applyFill="1" applyBorder="1" applyAlignment="1">
      <alignment horizontal="center" vertical="center" wrapText="1"/>
    </xf>
    <xf numFmtId="176" fontId="6" fillId="0" borderId="1" xfId="28" applyNumberFormat="1" applyFont="1" applyFill="1" applyBorder="1" applyAlignment="1">
      <alignment horizontal="center" vertical="center" wrapText="1"/>
    </xf>
    <xf numFmtId="49" fontId="6" fillId="0" borderId="1" xfId="28" applyNumberFormat="1" applyFont="1" applyFill="1" applyBorder="1" applyAlignment="1">
      <alignment horizontal="center" vertical="center" wrapText="1"/>
    </xf>
    <xf numFmtId="0" fontId="7" fillId="0" borderId="3" xfId="56" applyFont="1" applyFill="1" applyBorder="1" applyAlignment="1">
      <alignment horizontal="center" vertical="center" wrapText="1"/>
    </xf>
    <xf numFmtId="180" fontId="7" fillId="0" borderId="3" xfId="56" applyNumberFormat="1" applyFont="1" applyFill="1" applyBorder="1" applyAlignment="1">
      <alignment horizontal="center" vertical="center" wrapText="1"/>
    </xf>
    <xf numFmtId="177" fontId="8" fillId="0" borderId="1" xfId="56" applyNumberFormat="1" applyFont="1" applyFill="1" applyBorder="1" applyAlignment="1">
      <alignment horizontal="center" vertical="center" wrapText="1"/>
    </xf>
    <xf numFmtId="0" fontId="5" fillId="0" borderId="4" xfId="56" applyFont="1" applyFill="1" applyBorder="1" applyAlignment="1">
      <alignment horizontal="center" vertical="center" wrapText="1"/>
    </xf>
    <xf numFmtId="49" fontId="1" fillId="0" borderId="1" xfId="56" applyNumberFormat="1" applyFont="1" applyFill="1" applyBorder="1" applyAlignment="1">
      <alignment horizontal="center" vertical="center" wrapText="1"/>
    </xf>
    <xf numFmtId="0" fontId="7" fillId="0" borderId="1" xfId="56" applyFont="1" applyFill="1" applyBorder="1" applyAlignment="1">
      <alignment horizontal="center" vertical="center" wrapText="1"/>
    </xf>
    <xf numFmtId="180" fontId="7" fillId="0" borderId="1" xfId="56" applyNumberFormat="1" applyFont="1" applyFill="1" applyBorder="1" applyAlignment="1">
      <alignment horizontal="center" vertical="center" wrapText="1"/>
    </xf>
    <xf numFmtId="0" fontId="6" fillId="0" borderId="1" xfId="56" applyFont="1" applyFill="1" applyBorder="1" applyAlignment="1">
      <alignment horizontal="center" vertical="center" wrapText="1"/>
    </xf>
    <xf numFmtId="179" fontId="6" fillId="0" borderId="1" xfId="56" applyNumberFormat="1" applyFont="1" applyFill="1" applyBorder="1" applyAlignment="1">
      <alignment horizontal="center" vertical="center" wrapText="1"/>
    </xf>
    <xf numFmtId="0" fontId="1" fillId="0" borderId="1" xfId="56" applyFont="1" applyFill="1" applyBorder="1" applyAlignment="1">
      <alignment horizontal="left" vertical="center" wrapText="1"/>
    </xf>
    <xf numFmtId="0" fontId="8" fillId="0" borderId="1" xfId="56"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9" fillId="0" borderId="1" xfId="56" applyFont="1" applyFill="1" applyBorder="1" applyAlignment="1">
      <alignment horizontal="center" vertical="center" wrapText="1"/>
    </xf>
    <xf numFmtId="177" fontId="9" fillId="0" borderId="1" xfId="56" applyNumberFormat="1" applyFont="1" applyFill="1" applyBorder="1" applyAlignment="1">
      <alignment horizontal="center" vertical="center" wrapText="1"/>
    </xf>
    <xf numFmtId="14" fontId="6" fillId="0" borderId="1" xfId="56"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177" fontId="2" fillId="0" borderId="1" xfId="56" applyNumberFormat="1" applyFont="1" applyFill="1" applyBorder="1" applyAlignment="1">
      <alignment horizontal="center" vertical="center" wrapText="1"/>
    </xf>
    <xf numFmtId="14" fontId="8" fillId="0" borderId="1" xfId="56" applyNumberFormat="1" applyFont="1" applyFill="1" applyBorder="1" applyAlignment="1">
      <alignment horizontal="center" vertical="center" wrapText="1"/>
    </xf>
    <xf numFmtId="14" fontId="1" fillId="0" borderId="1" xfId="56" applyNumberFormat="1" applyFont="1" applyFill="1" applyBorder="1" applyAlignment="1">
      <alignment horizontal="center" vertical="center" wrapText="1"/>
    </xf>
    <xf numFmtId="179" fontId="8" fillId="0" borderId="1" xfId="56" applyNumberFormat="1" applyFont="1" applyFill="1" applyBorder="1" applyAlignment="1">
      <alignment horizontal="center" vertical="center" wrapText="1"/>
    </xf>
    <xf numFmtId="0" fontId="7" fillId="0" borderId="1" xfId="56" applyFont="1" applyFill="1" applyBorder="1" applyAlignment="1">
      <alignment horizontal="center" vertical="center" wrapText="1"/>
    </xf>
    <xf numFmtId="177" fontId="7" fillId="0" borderId="1" xfId="56" applyNumberFormat="1" applyFont="1" applyFill="1" applyBorder="1" applyAlignment="1">
      <alignment horizontal="center" vertical="center" wrapText="1"/>
    </xf>
    <xf numFmtId="49" fontId="7" fillId="0" borderId="1" xfId="56"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82" fontId="6" fillId="0" borderId="1" xfId="28" applyNumberFormat="1" applyFont="1" applyFill="1" applyBorder="1" applyAlignment="1">
      <alignment horizontal="center" vertical="center" wrapText="1"/>
    </xf>
    <xf numFmtId="0" fontId="6" fillId="0" borderId="1" xfId="113" applyFont="1" applyFill="1" applyBorder="1" applyAlignment="1">
      <alignment horizontal="center" vertical="center" wrapText="1"/>
    </xf>
    <xf numFmtId="0" fontId="6" fillId="0" borderId="1" xfId="113" applyFont="1" applyFill="1" applyBorder="1" applyAlignment="1">
      <alignment horizontal="center" vertical="center" wrapText="1"/>
    </xf>
    <xf numFmtId="182" fontId="6" fillId="0" borderId="1" xfId="113" applyNumberFormat="1" applyFont="1" applyFill="1" applyBorder="1" applyAlignment="1">
      <alignment horizontal="center" vertical="center" wrapText="1"/>
    </xf>
    <xf numFmtId="0" fontId="7" fillId="0" borderId="3" xfId="0" applyFont="1" applyFill="1" applyBorder="1" applyAlignment="1">
      <alignment horizontal="center" vertical="center" wrapText="1"/>
    </xf>
    <xf numFmtId="182" fontId="1" fillId="0" borderId="1" xfId="56" applyNumberFormat="1" applyFont="1" applyFill="1" applyBorder="1" applyAlignment="1">
      <alignment horizontal="center" vertical="center" wrapText="1"/>
    </xf>
    <xf numFmtId="181" fontId="1" fillId="0" borderId="1" xfId="56"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82" fontId="6" fillId="0" borderId="1" xfId="13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77" fontId="1" fillId="0" borderId="1" xfId="56" applyNumberFormat="1" applyFont="1" applyFill="1" applyBorder="1" applyAlignment="1">
      <alignment horizontal="center" vertical="center" wrapText="1"/>
    </xf>
    <xf numFmtId="177" fontId="1" fillId="0" borderId="1" xfId="56" applyNumberFormat="1" applyFont="1" applyFill="1" applyBorder="1" applyAlignment="1">
      <alignment horizontal="left" vertical="center" wrapText="1"/>
    </xf>
    <xf numFmtId="0" fontId="6" fillId="0" borderId="1" xfId="0" applyFont="1" applyFill="1" applyBorder="1" applyAlignment="1">
      <alignment horizontal="center" vertical="center" wrapText="1"/>
    </xf>
    <xf numFmtId="0" fontId="10" fillId="0" borderId="1" xfId="113" applyFont="1" applyFill="1" applyBorder="1" applyAlignment="1">
      <alignment horizontal="center" vertical="center" wrapText="1"/>
    </xf>
    <xf numFmtId="0" fontId="1" fillId="0" borderId="1" xfId="56" applyNumberFormat="1" applyFont="1" applyFill="1" applyBorder="1" applyAlignment="1">
      <alignment horizontal="center" vertical="center" wrapText="1"/>
    </xf>
    <xf numFmtId="0" fontId="8" fillId="0" borderId="1" xfId="130" applyFont="1" applyFill="1" applyBorder="1" applyAlignment="1">
      <alignment horizontal="center" vertical="center" wrapText="1"/>
    </xf>
    <xf numFmtId="0" fontId="8" fillId="0" borderId="1" xfId="130" applyFont="1" applyFill="1" applyBorder="1" applyAlignment="1">
      <alignment horizontal="center" vertical="center" wrapText="1"/>
    </xf>
    <xf numFmtId="0" fontId="9" fillId="0" borderId="1" xfId="56" applyNumberFormat="1" applyFont="1" applyFill="1" applyBorder="1" applyAlignment="1" applyProtection="1">
      <alignment horizontal="center" vertical="center" wrapText="1"/>
    </xf>
    <xf numFmtId="0" fontId="9" fillId="0" borderId="1" xfId="56" applyNumberFormat="1" applyFont="1" applyFill="1" applyBorder="1" applyAlignment="1" applyProtection="1">
      <alignment horizontal="center" vertical="center" wrapText="1"/>
    </xf>
    <xf numFmtId="182" fontId="6" fillId="0" borderId="1" xfId="113" applyNumberFormat="1" applyFont="1" applyFill="1" applyBorder="1" applyAlignment="1">
      <alignment horizontal="center" vertical="center"/>
    </xf>
    <xf numFmtId="182" fontId="6" fillId="0" borderId="1" xfId="56" applyNumberFormat="1" applyFont="1" applyFill="1" applyBorder="1" applyAlignment="1">
      <alignment horizontal="center" vertical="center" wrapText="1"/>
    </xf>
    <xf numFmtId="0" fontId="1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77" fontId="6" fillId="0" borderId="1" xfId="56" applyNumberFormat="1" applyFont="1" applyFill="1" applyBorder="1" applyAlignment="1">
      <alignment horizontal="center" vertical="center" wrapText="1"/>
    </xf>
    <xf numFmtId="181" fontId="6" fillId="0" borderId="1" xfId="56"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12" fillId="0" borderId="1" xfId="0" applyFont="1" applyFill="1" applyBorder="1" applyAlignment="1">
      <alignment vertical="center"/>
    </xf>
    <xf numFmtId="0" fontId="12" fillId="0" borderId="1" xfId="0" applyFont="1" applyFill="1" applyBorder="1" applyAlignment="1">
      <alignment horizontal="center" vertical="center"/>
    </xf>
    <xf numFmtId="182" fontId="6" fillId="0" borderId="1" xfId="130" applyNumberFormat="1" applyFont="1" applyFill="1" applyBorder="1" applyAlignment="1">
      <alignment horizontal="center" vertical="center"/>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2" fillId="0" borderId="1" xfId="0" applyFont="1" applyFill="1" applyBorder="1" applyAlignment="1">
      <alignment horizontal="center" vertical="center"/>
    </xf>
    <xf numFmtId="177" fontId="7" fillId="0" borderId="1" xfId="56" applyNumberFormat="1" applyFont="1" applyFill="1" applyBorder="1" applyAlignment="1">
      <alignment horizontal="center" vertical="center" wrapText="1"/>
    </xf>
    <xf numFmtId="49" fontId="7" fillId="0" borderId="1" xfId="56" applyNumberFormat="1" applyFont="1" applyFill="1" applyBorder="1" applyAlignment="1">
      <alignment horizontal="center" vertical="center" wrapText="1"/>
    </xf>
    <xf numFmtId="177" fontId="3" fillId="0" borderId="0" xfId="0" applyNumberFormat="1" applyFont="1" applyFill="1" applyAlignment="1">
      <alignment horizontal="center" vertical="center"/>
    </xf>
    <xf numFmtId="177" fontId="2" fillId="0" borderId="0" xfId="0" applyNumberFormat="1" applyFont="1" applyFill="1" applyAlignment="1">
      <alignment horizontal="center" vertical="center" wrapText="1"/>
    </xf>
    <xf numFmtId="0" fontId="2" fillId="0" borderId="0" xfId="0" applyFont="1" applyFill="1" applyAlignment="1">
      <alignment horizontal="left" vertical="center" wrapText="1"/>
    </xf>
    <xf numFmtId="177" fontId="5" fillId="0" borderId="2"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177" fontId="5" fillId="0" borderId="5" xfId="0" applyNumberFormat="1" applyFont="1" applyFill="1" applyBorder="1" applyAlignment="1">
      <alignment horizontal="center" vertical="center" wrapText="1"/>
    </xf>
    <xf numFmtId="177" fontId="5" fillId="0" borderId="5" xfId="0" applyNumberFormat="1" applyFont="1" applyFill="1" applyBorder="1" applyAlignment="1">
      <alignment horizontal="center" vertical="center" wrapText="1"/>
    </xf>
    <xf numFmtId="177"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56" applyNumberFormat="1" applyFont="1" applyFill="1" applyBorder="1" applyAlignment="1">
      <alignment horizontal="center" vertical="center" wrapText="1"/>
    </xf>
    <xf numFmtId="176" fontId="5" fillId="0" borderId="2" xfId="56" applyNumberFormat="1" applyFont="1" applyFill="1" applyBorder="1" applyAlignment="1">
      <alignment horizontal="center" vertical="center" wrapText="1"/>
    </xf>
    <xf numFmtId="0" fontId="5" fillId="0" borderId="2" xfId="0" applyFont="1" applyFill="1" applyBorder="1" applyAlignment="1">
      <alignment horizontal="center" vertical="center"/>
    </xf>
    <xf numFmtId="177" fontId="5" fillId="0" borderId="3" xfId="56" applyNumberFormat="1" applyFont="1" applyFill="1" applyBorder="1" applyAlignment="1">
      <alignment horizontal="center" vertical="center" wrapText="1"/>
    </xf>
    <xf numFmtId="177" fontId="5" fillId="0" borderId="3" xfId="56" applyNumberFormat="1" applyFont="1" applyFill="1" applyBorder="1" applyAlignment="1">
      <alignment horizontal="center" vertical="center" wrapText="1"/>
    </xf>
    <xf numFmtId="0" fontId="5" fillId="0" borderId="3" xfId="56" applyNumberFormat="1" applyFont="1" applyFill="1" applyBorder="1" applyAlignment="1">
      <alignment horizontal="center" vertical="center" wrapText="1"/>
    </xf>
    <xf numFmtId="176" fontId="5" fillId="0" borderId="3" xfId="56" applyNumberFormat="1" applyFont="1" applyFill="1" applyBorder="1" applyAlignment="1">
      <alignment horizontal="center" vertical="center" wrapText="1"/>
    </xf>
    <xf numFmtId="0" fontId="5" fillId="0" borderId="6" xfId="56"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177" fontId="8" fillId="0" borderId="1" xfId="28" applyNumberFormat="1" applyFont="1" applyFill="1" applyBorder="1" applyAlignment="1">
      <alignment horizontal="center" vertical="center" wrapText="1"/>
    </xf>
    <xf numFmtId="176" fontId="8" fillId="0" borderId="1" xfId="28"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177" fontId="7" fillId="0" borderId="3" xfId="0" applyNumberFormat="1" applyFont="1" applyFill="1" applyBorder="1" applyAlignment="1">
      <alignment horizontal="center" vertical="center" wrapText="1"/>
    </xf>
    <xf numFmtId="177" fontId="7" fillId="0" borderId="3" xfId="0" applyNumberFormat="1" applyFont="1" applyFill="1" applyBorder="1" applyAlignment="1">
      <alignment horizontal="center" vertical="center" wrapText="1"/>
    </xf>
    <xf numFmtId="0" fontId="7" fillId="0" borderId="3" xfId="0" applyNumberFormat="1" applyFont="1" applyFill="1" applyBorder="1" applyAlignment="1">
      <alignment horizontal="center" vertical="center" wrapText="1"/>
    </xf>
    <xf numFmtId="0" fontId="7" fillId="0" borderId="3" xfId="56" applyNumberFormat="1" applyFont="1" applyFill="1" applyBorder="1" applyAlignment="1">
      <alignment horizontal="center" vertical="center" wrapText="1"/>
    </xf>
    <xf numFmtId="176" fontId="7" fillId="0" borderId="3" xfId="56" applyNumberFormat="1" applyFont="1" applyFill="1" applyBorder="1" applyAlignment="1">
      <alignment horizontal="center" vertical="center" wrapText="1"/>
    </xf>
    <xf numFmtId="0" fontId="7" fillId="0" borderId="6" xfId="0" applyFont="1" applyFill="1" applyBorder="1" applyAlignment="1">
      <alignment horizontal="center" vertical="center"/>
    </xf>
    <xf numFmtId="177" fontId="5" fillId="0" borderId="4" xfId="56" applyNumberFormat="1" applyFont="1" applyFill="1" applyBorder="1" applyAlignment="1">
      <alignment horizontal="center" vertical="center" wrapText="1"/>
    </xf>
    <xf numFmtId="177" fontId="5" fillId="0" borderId="4" xfId="56" applyNumberFormat="1" applyFont="1" applyFill="1" applyBorder="1" applyAlignment="1">
      <alignment horizontal="center" vertical="center" wrapText="1"/>
    </xf>
    <xf numFmtId="0" fontId="5" fillId="0" borderId="4" xfId="56" applyNumberFormat="1" applyFont="1" applyFill="1" applyBorder="1" applyAlignment="1">
      <alignment horizontal="center" vertical="center" wrapText="1"/>
    </xf>
    <xf numFmtId="176" fontId="5" fillId="0" borderId="4" xfId="56" applyNumberFormat="1" applyFont="1" applyFill="1" applyBorder="1" applyAlignment="1">
      <alignment horizontal="center" vertical="center" wrapText="1"/>
    </xf>
    <xf numFmtId="0" fontId="5" fillId="0" borderId="4" xfId="56" applyFont="1" applyFill="1" applyBorder="1" applyAlignment="1">
      <alignment horizontal="center" vertical="center" wrapText="1"/>
    </xf>
    <xf numFmtId="177" fontId="6" fillId="0" borderId="1" xfId="130" applyNumberFormat="1" applyFont="1" applyFill="1" applyBorder="1" applyAlignment="1">
      <alignment horizontal="center" vertical="center"/>
    </xf>
    <xf numFmtId="182" fontId="6" fillId="0" borderId="1" xfId="130" applyNumberFormat="1" applyFont="1" applyFill="1" applyBorder="1" applyAlignment="1">
      <alignment vertical="center"/>
    </xf>
    <xf numFmtId="177" fontId="7" fillId="0" borderId="4"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1" xfId="56" applyNumberFormat="1" applyFont="1" applyFill="1" applyBorder="1" applyAlignment="1">
      <alignment horizontal="center" vertical="center" wrapText="1"/>
    </xf>
    <xf numFmtId="176" fontId="7" fillId="0" borderId="1" xfId="56" applyNumberFormat="1" applyFont="1" applyFill="1" applyBorder="1" applyAlignment="1">
      <alignment horizontal="center" vertical="center" wrapText="1"/>
    </xf>
    <xf numFmtId="0" fontId="7" fillId="0" borderId="1" xfId="0" applyFont="1" applyFill="1" applyBorder="1" applyAlignment="1">
      <alignment horizontal="center" vertical="center"/>
    </xf>
    <xf numFmtId="177" fontId="5" fillId="0" borderId="1" xfId="56" applyNumberFormat="1" applyFont="1" applyFill="1" applyBorder="1" applyAlignment="1">
      <alignment horizontal="center" vertical="center" wrapText="1"/>
    </xf>
    <xf numFmtId="0" fontId="5" fillId="0" borderId="1" xfId="56" applyFont="1" applyFill="1" applyBorder="1" applyAlignment="1">
      <alignment horizontal="left" vertical="center" wrapText="1"/>
    </xf>
    <xf numFmtId="177" fontId="10" fillId="0" borderId="1" xfId="130" applyNumberFormat="1" applyFont="1" applyFill="1" applyBorder="1" applyAlignment="1">
      <alignment horizontal="center" vertical="center"/>
    </xf>
    <xf numFmtId="0" fontId="1" fillId="0" borderId="1" xfId="0" applyFont="1" applyFill="1" applyBorder="1" applyAlignment="1">
      <alignment horizontal="left" vertical="center"/>
    </xf>
    <xf numFmtId="177" fontId="10" fillId="0" borderId="1" xfId="56" applyNumberFormat="1" applyFont="1" applyFill="1" applyBorder="1" applyAlignment="1">
      <alignment horizontal="center" vertical="center" wrapText="1"/>
    </xf>
    <xf numFmtId="176" fontId="8" fillId="0" borderId="1" xfId="56" applyNumberFormat="1" applyFont="1" applyFill="1" applyBorder="1" applyAlignment="1">
      <alignment horizontal="center" vertical="center" wrapText="1"/>
    </xf>
    <xf numFmtId="0" fontId="11" fillId="0" borderId="1" xfId="56" applyNumberFormat="1" applyFont="1" applyFill="1" applyBorder="1" applyAlignment="1">
      <alignment horizontal="center" vertical="center" wrapText="1"/>
    </xf>
    <xf numFmtId="49" fontId="1" fillId="0" borderId="1" xfId="56" applyNumberFormat="1" applyFont="1" applyFill="1" applyBorder="1" applyAlignment="1">
      <alignment horizontal="left" vertical="center" wrapText="1"/>
    </xf>
    <xf numFmtId="177" fontId="6" fillId="0" borderId="1" xfId="113" applyNumberFormat="1" applyFont="1" applyFill="1" applyBorder="1" applyAlignment="1">
      <alignment horizontal="center" vertical="center"/>
    </xf>
    <xf numFmtId="177" fontId="10" fillId="0" borderId="1" xfId="113" applyNumberFormat="1" applyFont="1" applyFill="1" applyBorder="1" applyAlignment="1">
      <alignment horizontal="center" vertical="center"/>
    </xf>
    <xf numFmtId="177" fontId="8" fillId="0" borderId="1" xfId="130" applyNumberFormat="1" applyFont="1" applyFill="1" applyBorder="1" applyAlignment="1">
      <alignment horizontal="center" vertical="center" wrapText="1"/>
    </xf>
    <xf numFmtId="177" fontId="8" fillId="0" borderId="1" xfId="0" applyNumberFormat="1" applyFont="1" applyBorder="1" applyAlignment="1">
      <alignment horizontal="center" vertical="center" wrapText="1"/>
    </xf>
    <xf numFmtId="0" fontId="2" fillId="0" borderId="1" xfId="0" applyFont="1" applyFill="1" applyBorder="1" applyAlignment="1">
      <alignment horizontal="left" vertical="center"/>
    </xf>
    <xf numFmtId="177" fontId="9" fillId="0" borderId="1" xfId="56" applyNumberFormat="1" applyFont="1" applyFill="1" applyBorder="1" applyAlignment="1" applyProtection="1">
      <alignment horizontal="center" vertical="center" wrapText="1"/>
    </xf>
    <xf numFmtId="176" fontId="9" fillId="0" borderId="1" xfId="56" applyNumberFormat="1" applyFont="1" applyFill="1" applyBorder="1" applyAlignment="1">
      <alignment horizontal="center" vertical="center" wrapText="1"/>
    </xf>
    <xf numFmtId="0" fontId="9" fillId="0" borderId="1" xfId="56" applyFont="1" applyFill="1" applyBorder="1" applyAlignment="1">
      <alignment horizontal="center" vertical="center" wrapText="1"/>
    </xf>
    <xf numFmtId="176" fontId="6" fillId="0" borderId="1" xfId="56" applyNumberFormat="1" applyFont="1" applyFill="1" applyBorder="1" applyAlignment="1">
      <alignment horizontal="center" vertical="center" wrapText="1"/>
    </xf>
    <xf numFmtId="0" fontId="9" fillId="0" borderId="1" xfId="56" applyFont="1" applyFill="1" applyBorder="1" applyAlignment="1">
      <alignment horizontal="left" vertical="center" wrapText="1"/>
    </xf>
    <xf numFmtId="177" fontId="8" fillId="0" borderId="1" xfId="28" applyNumberFormat="1" applyFont="1" applyFill="1" applyBorder="1" applyAlignment="1">
      <alignment horizontal="center" vertical="center"/>
    </xf>
    <xf numFmtId="182" fontId="6" fillId="0" borderId="1" xfId="113" applyNumberFormat="1" applyFont="1" applyFill="1" applyBorder="1" applyAlignment="1">
      <alignment vertical="center"/>
    </xf>
    <xf numFmtId="14" fontId="1" fillId="0" borderId="1" xfId="56" applyNumberFormat="1" applyFont="1" applyFill="1" applyBorder="1" applyAlignment="1">
      <alignment horizontal="left" vertical="center" wrapText="1"/>
    </xf>
    <xf numFmtId="0" fontId="0" fillId="0" borderId="1" xfId="0" applyFont="1" applyFill="1" applyBorder="1" applyAlignment="1">
      <alignment horizontal="left" vertical="center"/>
    </xf>
    <xf numFmtId="49" fontId="7" fillId="0" borderId="1" xfId="56" applyNumberFormat="1" applyFont="1" applyFill="1" applyBorder="1" applyAlignment="1">
      <alignment horizontal="left" vertical="center" wrapText="1"/>
    </xf>
    <xf numFmtId="0" fontId="1" fillId="0" borderId="0" xfId="0" applyFont="1">
      <alignment vertical="center"/>
    </xf>
    <xf numFmtId="0" fontId="13" fillId="0" borderId="0" xfId="56" applyFont="1" applyFill="1" applyAlignment="1">
      <alignment horizontal="center" vertical="center"/>
    </xf>
    <xf numFmtId="0" fontId="14" fillId="0" borderId="0" xfId="0" applyFont="1" applyFill="1" applyAlignment="1">
      <alignment horizontal="left" vertical="center"/>
    </xf>
    <xf numFmtId="0" fontId="13" fillId="0" borderId="0" xfId="0" applyFont="1" applyAlignment="1">
      <alignment horizontal="center" vertical="center"/>
    </xf>
    <xf numFmtId="0" fontId="14" fillId="0" borderId="0" xfId="0" applyFont="1" applyAlignment="1">
      <alignment horizontal="right" vertical="center"/>
    </xf>
    <xf numFmtId="0" fontId="14" fillId="0" borderId="0" xfId="0" applyFont="1" applyAlignment="1">
      <alignment horizontal="center" vertical="center"/>
    </xf>
    <xf numFmtId="0" fontId="14" fillId="0" borderId="0" xfId="0" applyFont="1" applyFill="1" applyBorder="1" applyAlignment="1">
      <alignment horizontal="center" vertical="center"/>
    </xf>
    <xf numFmtId="177" fontId="13" fillId="0" borderId="0" xfId="0" applyNumberFormat="1" applyFont="1" applyFill="1" applyAlignment="1">
      <alignment horizontal="center" vertical="center"/>
    </xf>
    <xf numFmtId="176" fontId="15" fillId="0" borderId="0" xfId="0" applyNumberFormat="1" applyFont="1" applyFill="1" applyBorder="1" applyAlignment="1">
      <alignment horizontal="center" vertical="center" wrapText="1"/>
    </xf>
    <xf numFmtId="0" fontId="14" fillId="0" borderId="0" xfId="0" applyNumberFormat="1" applyFont="1" applyFill="1" applyAlignment="1">
      <alignment horizontal="center" vertical="center" wrapText="1"/>
    </xf>
    <xf numFmtId="0" fontId="15" fillId="0" borderId="0" xfId="0" applyNumberFormat="1" applyFont="1" applyFill="1" applyAlignment="1">
      <alignment horizontal="center" vertical="center" wrapText="1"/>
    </xf>
    <xf numFmtId="14" fontId="2" fillId="0" borderId="0" xfId="0" applyNumberFormat="1" applyFont="1" applyFill="1" applyBorder="1" applyAlignment="1">
      <alignment vertical="center"/>
    </xf>
    <xf numFmtId="176" fontId="2" fillId="0" borderId="0" xfId="0" applyNumberFormat="1" applyFont="1" applyFill="1" applyBorder="1" applyAlignment="1">
      <alignment vertical="center"/>
    </xf>
  </cellXfs>
  <cellStyles count="160">
    <cellStyle name="常规" xfId="0" builtinId="0"/>
    <cellStyle name="货币[0]" xfId="1" builtinId="7"/>
    <cellStyle name="20% - 强调文字颜色 1 2" xfId="2"/>
    <cellStyle name="20% - 强调文字颜色 3" xfId="3" builtinId="38"/>
    <cellStyle name="输入" xfId="4" builtinId="20"/>
    <cellStyle name="货币" xfId="5" builtinId="4"/>
    <cellStyle name="千位分隔[0]" xfId="6" builtinId="6"/>
    <cellStyle name="40% - 强调文字颜色 3" xfId="7" builtinId="39"/>
    <cellStyle name="计算 2" xfId="8"/>
    <cellStyle name="差" xfId="9" builtinId="27"/>
    <cellStyle name="千位分隔" xfId="10" builtinId="3"/>
    <cellStyle name="20% - 强调文字颜色 3 2 2" xfId="11"/>
    <cellStyle name="60% - 强调文字颜色 3" xfId="12" builtinId="40"/>
    <cellStyle name="超链接" xfId="13" builtinId="8"/>
    <cellStyle name="40% - 强调文字颜色 1 2 2" xfId="14"/>
    <cellStyle name="百分比" xfId="15" builtinId="5"/>
    <cellStyle name="20% - 强调文字颜色 2 2 2" xfId="16"/>
    <cellStyle name="已访问的超链接" xfId="17" builtinId="9"/>
    <cellStyle name="注释" xfId="18" builtinId="10"/>
    <cellStyle name="常规 6" xfId="19"/>
    <cellStyle name="标题 4" xfId="20" builtinId="19"/>
    <cellStyle name="解释性文本 2 2" xfId="21"/>
    <cellStyle name="60% - 强调文字颜色 2" xfId="22" builtinId="36"/>
    <cellStyle name="警告文本" xfId="23" builtinId="11"/>
    <cellStyle name="标题" xfId="24" builtinId="15"/>
    <cellStyle name="常规 5 2" xfId="25"/>
    <cellStyle name="60% - 强调文字颜色 2 2 2" xfId="26"/>
    <cellStyle name="强调文字颜色 4 2" xfId="27"/>
    <cellStyle name="@ET_Style?.headerstyle2_四公司_十公司_19 2" xfId="28"/>
    <cellStyle name="解释性文本" xfId="29" builtinId="53"/>
    <cellStyle name="标题 1" xfId="30" builtinId="16"/>
    <cellStyle name="标题 2" xfId="31" builtinId="17"/>
    <cellStyle name="60% - 强调文字颜色 1" xfId="32" builtinId="32"/>
    <cellStyle name="标题 3" xfId="33" builtinId="18"/>
    <cellStyle name="60% - 强调文字颜色 4" xfId="34" builtinId="44"/>
    <cellStyle name="输出" xfId="35" builtinId="21"/>
    <cellStyle name="计算" xfId="36" builtinId="22"/>
    <cellStyle name="检查单元格" xfId="37" builtinId="23"/>
    <cellStyle name="40% - 强调文字颜色 4 2" xfId="38"/>
    <cellStyle name="20% - 强调文字颜色 6" xfId="39" builtinId="50"/>
    <cellStyle name="强调文字颜色 2" xfId="40" builtinId="33"/>
    <cellStyle name="链接单元格" xfId="41" builtinId="24"/>
    <cellStyle name="40% - 强调文字颜色 1 2" xfId="42"/>
    <cellStyle name="汇总" xfId="43" builtinId="25"/>
    <cellStyle name="好" xfId="44" builtinId="26"/>
    <cellStyle name="适中" xfId="45" builtinId="28"/>
    <cellStyle name="20% - 强调文字颜色 5" xfId="46" builtinId="46"/>
    <cellStyle name="强调文字颜色 1" xfId="47" builtinId="29"/>
    <cellStyle name="20% - 强调文字颜色 1" xfId="48" builtinId="30"/>
    <cellStyle name="40% - 强调文字颜色 1" xfId="49" builtinId="31"/>
    <cellStyle name="20% - 强调文字颜色 2" xfId="50" builtinId="34"/>
    <cellStyle name="输出 2" xfId="51"/>
    <cellStyle name="40% - 强调文字颜色 2" xfId="52" builtinId="35"/>
    <cellStyle name="强调文字颜色 3" xfId="53" builtinId="37"/>
    <cellStyle name="20% - 强调文字颜色 4 2 2" xfId="54"/>
    <cellStyle name="常规 3 2" xfId="55"/>
    <cellStyle name="@ET_Style?.headerstyle2_四公司_十公司_19" xfId="56"/>
    <cellStyle name="强调文字颜色 4" xfId="57" builtinId="41"/>
    <cellStyle name="20% - 强调文字颜色 4" xfId="58" builtinId="42"/>
    <cellStyle name="40% - 强调文字颜色 4" xfId="59" builtinId="43"/>
    <cellStyle name="强调文字颜色 5" xfId="60" builtinId="45"/>
    <cellStyle name="40% - 强调文字颜色 5" xfId="61" builtinId="47"/>
    <cellStyle name="60% - 强调文字颜色 5" xfId="62" builtinId="48"/>
    <cellStyle name="强调文字颜色 6" xfId="63" builtinId="49"/>
    <cellStyle name="适中 2" xfId="64"/>
    <cellStyle name="40% - 强调文字颜色 6" xfId="65" builtinId="51"/>
    <cellStyle name="60% - 强调文字颜色 6" xfId="66" builtinId="52"/>
    <cellStyle name="20% - 强调文字颜色 3 2" xfId="67"/>
    <cellStyle name="20% - 强调文字颜色 1 2 2" xfId="68"/>
    <cellStyle name="20% - 强调文字颜色 2 2" xfId="69"/>
    <cellStyle name="输出 2 2" xfId="70"/>
    <cellStyle name="20% - 强调文字颜色 4 2" xfId="71"/>
    <cellStyle name="常规 3" xfId="72"/>
    <cellStyle name="20% - 强调文字颜色 5 2" xfId="73"/>
    <cellStyle name="20% - 强调文字颜色 5 2 2" xfId="74"/>
    <cellStyle name="20% - 强调文字颜色 6 2" xfId="75"/>
    <cellStyle name="20% - 强调文字颜色 6 2 2" xfId="76"/>
    <cellStyle name="40% - 强调文字颜色 2 2" xfId="77"/>
    <cellStyle name="40% - 强调文字颜色 2 2 2" xfId="78"/>
    <cellStyle name="40% - 强调文字颜色 3 2" xfId="79"/>
    <cellStyle name="计算 2 2" xfId="80"/>
    <cellStyle name="40% - 强调文字颜色 3 2 2" xfId="81"/>
    <cellStyle name="40% - 强调文字颜色 4 2 2" xfId="82"/>
    <cellStyle name="检查单元格 2" xfId="83"/>
    <cellStyle name="40% - 强调文字颜色 5 2" xfId="84"/>
    <cellStyle name="40% - 强调文字颜色 5 2 2" xfId="85"/>
    <cellStyle name="40% - 强调文字颜色 6 2" xfId="86"/>
    <cellStyle name="适中 2 2" xfId="87"/>
    <cellStyle name="40% - 强调文字颜色 6 2 2" xfId="88"/>
    <cellStyle name="60% - 强调文字颜色 1 2" xfId="89"/>
    <cellStyle name="60% - 强调文字颜色 1 2 2" xfId="90"/>
    <cellStyle name="60% - 强调文字颜色 2 2" xfId="91"/>
    <cellStyle name="常规 5" xfId="92"/>
    <cellStyle name="60% - 强调文字颜色 3 2" xfId="93"/>
    <cellStyle name="60% - 强调文字颜色 3 2 2" xfId="94"/>
    <cellStyle name="60% - 强调文字颜色 4 2" xfId="95"/>
    <cellStyle name="60% - 强调文字颜色 4 2 2" xfId="96"/>
    <cellStyle name="60% - 强调文字颜色 5 2" xfId="97"/>
    <cellStyle name="60% - 强调文字颜色 5 2 2" xfId="98"/>
    <cellStyle name="60% - 强调文字颜色 6 2" xfId="99"/>
    <cellStyle name="60% - 强调文字颜色 6 2 2" xfId="100"/>
    <cellStyle name="标题 1 2" xfId="101"/>
    <cellStyle name="标题 1 2 2" xfId="102"/>
    <cellStyle name="标题 2 2" xfId="103"/>
    <cellStyle name="标题 2 2 2" xfId="104"/>
    <cellStyle name="标题 3 2" xfId="105"/>
    <cellStyle name="标题 3 2 2" xfId="106"/>
    <cellStyle name="标题 4 2" xfId="107"/>
    <cellStyle name="标题 4 2 2" xfId="108"/>
    <cellStyle name="标题 5" xfId="109"/>
    <cellStyle name="差 2" xfId="110"/>
    <cellStyle name="差 2 2" xfId="111"/>
    <cellStyle name="常规 10" xfId="112"/>
    <cellStyle name="常规 11" xfId="113"/>
    <cellStyle name="常规 12" xfId="114"/>
    <cellStyle name="常规 13" xfId="115"/>
    <cellStyle name="常规 14" xfId="116"/>
    <cellStyle name="常规 15" xfId="117"/>
    <cellStyle name="常规 2" xfId="118"/>
    <cellStyle name="常规 2 2" xfId="119"/>
    <cellStyle name="常规 2 2 2" xfId="120"/>
    <cellStyle name="常规 2 3" xfId="121"/>
    <cellStyle name="常规 2 3 2" xfId="122"/>
    <cellStyle name="常规 2 3 2 2" xfId="123"/>
    <cellStyle name="常规 2 3 2 2 2" xfId="124"/>
    <cellStyle name="常规 2 4" xfId="125"/>
    <cellStyle name="常规 3 2 2" xfId="126"/>
    <cellStyle name="常规 3 2 2 2" xfId="127"/>
    <cellStyle name="常规 4" xfId="128"/>
    <cellStyle name="常规 4 2" xfId="129"/>
    <cellStyle name="常规 7" xfId="130"/>
    <cellStyle name="常规 8" xfId="131"/>
    <cellStyle name="常规 9" xfId="132"/>
    <cellStyle name="好 2" xfId="133"/>
    <cellStyle name="好 2 2" xfId="134"/>
    <cellStyle name="汇总 2" xfId="135"/>
    <cellStyle name="汇总 2 2" xfId="136"/>
    <cellStyle name="货币 2" xfId="137"/>
    <cellStyle name="货币 2 2" xfId="138"/>
    <cellStyle name="货币 2 3" xfId="139"/>
    <cellStyle name="检查单元格 2 2" xfId="140"/>
    <cellStyle name="解释性文本 2" xfId="141"/>
    <cellStyle name="警告文本 2" xfId="142"/>
    <cellStyle name="警告文本 2 2" xfId="143"/>
    <cellStyle name="链接单元格 2" xfId="144"/>
    <cellStyle name="链接单元格 2 2" xfId="145"/>
    <cellStyle name="强调文字颜色 1 2" xfId="146"/>
    <cellStyle name="强调文字颜色 1 2 2" xfId="147"/>
    <cellStyle name="强调文字颜色 2 2" xfId="148"/>
    <cellStyle name="强调文字颜色 2 2 2" xfId="149"/>
    <cellStyle name="强调文字颜色 3 2" xfId="150"/>
    <cellStyle name="强调文字颜色 3 2 2" xfId="151"/>
    <cellStyle name="强调文字颜色 4 2 2" xfId="152"/>
    <cellStyle name="强调文字颜色 5 2" xfId="153"/>
    <cellStyle name="强调文字颜色 5 2 2" xfId="154"/>
    <cellStyle name="强调文字颜色 6 2" xfId="155"/>
    <cellStyle name="强调文字颜色 6 2 2" xfId="156"/>
    <cellStyle name="输入 2" xfId="157"/>
    <cellStyle name="输入 2 2" xfId="158"/>
    <cellStyle name="注释 2" xfId="159"/>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D66"/>
  <sheetViews>
    <sheetView tabSelected="1" workbookViewId="0">
      <pane ySplit="5" topLeftCell="A29" activePane="bottomLeft" state="frozen"/>
      <selection/>
      <selection pane="bottomLeft" activeCell="N15" sqref="N15"/>
    </sheetView>
  </sheetViews>
  <sheetFormatPr defaultColWidth="8.7" defaultRowHeight="15.75"/>
  <cols>
    <col min="1" max="1" width="5" style="5" customWidth="1"/>
    <col min="2" max="2" width="20.625" style="7" customWidth="1"/>
    <col min="3" max="10" width="8.625" style="5" customWidth="1"/>
    <col min="11" max="11" width="9.375" style="5" customWidth="1"/>
    <col min="12" max="13" width="8.625" style="5" customWidth="1"/>
    <col min="14" max="14" width="18" style="8" customWidth="1"/>
    <col min="15" max="16" width="8.625" style="8" customWidth="1"/>
    <col min="17" max="18" width="8.625" style="9" customWidth="1"/>
    <col min="19" max="19" width="8.625" style="8" customWidth="1"/>
    <col min="20" max="20" width="8.625" style="10" customWidth="1"/>
    <col min="21" max="21" width="8.625" style="11" customWidth="1"/>
    <col min="22" max="23" width="8.625" style="10" customWidth="1"/>
    <col min="24" max="24" width="25.875" style="12" customWidth="1"/>
    <col min="25" max="25" width="18.625" style="5" customWidth="1"/>
    <col min="26" max="16384" width="8.7" style="5"/>
  </cols>
  <sheetData>
    <row r="1" ht="28.2" customHeight="1" spans="1:23">
      <c r="A1" s="13" t="s">
        <v>0</v>
      </c>
      <c r="B1" s="14"/>
      <c r="C1" s="13"/>
      <c r="D1" s="13"/>
      <c r="E1" s="13"/>
      <c r="F1" s="13"/>
      <c r="G1" s="13"/>
      <c r="H1" s="13"/>
      <c r="I1" s="13"/>
      <c r="J1" s="13"/>
      <c r="K1" s="13"/>
      <c r="L1" s="13"/>
      <c r="M1" s="13"/>
      <c r="N1" s="14"/>
      <c r="O1" s="13"/>
      <c r="P1" s="13"/>
      <c r="Q1" s="86"/>
      <c r="R1" s="86"/>
      <c r="S1" s="13"/>
      <c r="T1" s="13"/>
      <c r="U1" s="13"/>
      <c r="V1" s="13"/>
      <c r="W1" s="13"/>
    </row>
    <row r="2" ht="24" customHeight="1" spans="1:24">
      <c r="A2" s="15" t="s">
        <v>1</v>
      </c>
      <c r="B2" s="16"/>
      <c r="C2" s="15"/>
      <c r="D2" s="15"/>
      <c r="E2" s="15"/>
      <c r="F2" s="15"/>
      <c r="H2" s="6"/>
      <c r="I2" s="6"/>
      <c r="J2" s="6"/>
      <c r="N2" s="47" t="s">
        <v>2</v>
      </c>
      <c r="O2" s="47"/>
      <c r="P2" s="47"/>
      <c r="Q2" s="87"/>
      <c r="R2" s="87"/>
      <c r="S2" s="47"/>
      <c r="T2" s="47"/>
      <c r="U2" s="47"/>
      <c r="V2" s="47"/>
      <c r="W2" s="47"/>
      <c r="X2" s="88"/>
    </row>
    <row r="3" s="1" customFormat="1" ht="15.6" customHeight="1" spans="1:24">
      <c r="A3" s="17" t="s">
        <v>3</v>
      </c>
      <c r="B3" s="17" t="s">
        <v>4</v>
      </c>
      <c r="C3" s="17" t="s">
        <v>5</v>
      </c>
      <c r="D3" s="17" t="s">
        <v>6</v>
      </c>
      <c r="E3" s="17" t="s">
        <v>7</v>
      </c>
      <c r="F3" s="17"/>
      <c r="G3" s="17" t="s">
        <v>8</v>
      </c>
      <c r="H3" s="17"/>
      <c r="I3" s="17" t="s">
        <v>9</v>
      </c>
      <c r="J3" s="17"/>
      <c r="K3" s="17" t="s">
        <v>10</v>
      </c>
      <c r="L3" s="17" t="s">
        <v>11</v>
      </c>
      <c r="M3" s="17" t="s">
        <v>12</v>
      </c>
      <c r="N3" s="48" t="s">
        <v>13</v>
      </c>
      <c r="O3" s="17" t="s">
        <v>14</v>
      </c>
      <c r="P3" s="17" t="s">
        <v>15</v>
      </c>
      <c r="Q3" s="89" t="s">
        <v>16</v>
      </c>
      <c r="R3" s="90" t="s">
        <v>17</v>
      </c>
      <c r="S3" s="91" t="s">
        <v>18</v>
      </c>
      <c r="T3" s="17" t="s">
        <v>19</v>
      </c>
      <c r="U3" s="17"/>
      <c r="V3" s="17"/>
      <c r="W3" s="17"/>
      <c r="X3" s="92" t="s">
        <v>20</v>
      </c>
    </row>
    <row r="4" s="1" customFormat="1" ht="15.6" customHeight="1" spans="1:24">
      <c r="A4" s="17"/>
      <c r="B4" s="17"/>
      <c r="C4" s="17"/>
      <c r="D4" s="17"/>
      <c r="E4" s="17" t="s">
        <v>21</v>
      </c>
      <c r="F4" s="17" t="s">
        <v>22</v>
      </c>
      <c r="G4" s="17" t="s">
        <v>21</v>
      </c>
      <c r="H4" s="17" t="s">
        <v>22</v>
      </c>
      <c r="I4" s="17" t="s">
        <v>23</v>
      </c>
      <c r="J4" s="17" t="s">
        <v>24</v>
      </c>
      <c r="K4" s="17"/>
      <c r="L4" s="17"/>
      <c r="M4" s="17"/>
      <c r="N4" s="48"/>
      <c r="O4" s="17"/>
      <c r="P4" s="17"/>
      <c r="Q4" s="93"/>
      <c r="R4" s="90"/>
      <c r="S4" s="91"/>
      <c r="T4" s="91" t="s">
        <v>25</v>
      </c>
      <c r="U4" s="91"/>
      <c r="V4" s="91" t="s">
        <v>26</v>
      </c>
      <c r="W4" s="91"/>
      <c r="X4" s="92"/>
    </row>
    <row r="5" s="1" customFormat="1" ht="19" customHeight="1" spans="1:24">
      <c r="A5" s="18"/>
      <c r="B5" s="18"/>
      <c r="C5" s="18"/>
      <c r="D5" s="18"/>
      <c r="E5" s="18"/>
      <c r="F5" s="18"/>
      <c r="G5" s="18"/>
      <c r="H5" s="18"/>
      <c r="I5" s="18"/>
      <c r="J5" s="18"/>
      <c r="K5" s="18"/>
      <c r="L5" s="18"/>
      <c r="M5" s="18"/>
      <c r="N5" s="49"/>
      <c r="O5" s="18"/>
      <c r="P5" s="18"/>
      <c r="Q5" s="94"/>
      <c r="R5" s="95"/>
      <c r="S5" s="96"/>
      <c r="T5" s="97" t="s">
        <v>27</v>
      </c>
      <c r="U5" s="98" t="s">
        <v>28</v>
      </c>
      <c r="V5" s="97" t="s">
        <v>27</v>
      </c>
      <c r="W5" s="97" t="s">
        <v>28</v>
      </c>
      <c r="X5" s="99"/>
    </row>
    <row r="6" s="1" customFormat="1" ht="19" customHeight="1" spans="1:24">
      <c r="A6" s="19" t="s">
        <v>29</v>
      </c>
      <c r="B6" s="19"/>
      <c r="C6" s="19"/>
      <c r="D6" s="19"/>
      <c r="E6" s="19"/>
      <c r="F6" s="19"/>
      <c r="G6" s="19"/>
      <c r="H6" s="19"/>
      <c r="I6" s="19"/>
      <c r="J6" s="19"/>
      <c r="K6" s="19"/>
      <c r="L6" s="19"/>
      <c r="M6" s="19"/>
      <c r="N6" s="19"/>
      <c r="O6" s="19"/>
      <c r="P6" s="19"/>
      <c r="Q6" s="100"/>
      <c r="R6" s="101"/>
      <c r="S6" s="102"/>
      <c r="T6" s="102"/>
      <c r="U6" s="103"/>
      <c r="V6" s="102"/>
      <c r="W6" s="102"/>
      <c r="X6" s="104"/>
    </row>
    <row r="7" s="1" customFormat="1" ht="45" customHeight="1" spans="1:30">
      <c r="A7" s="20">
        <v>1</v>
      </c>
      <c r="B7" s="21" t="s">
        <v>30</v>
      </c>
      <c r="C7" s="22">
        <v>44352.97</v>
      </c>
      <c r="D7" s="22">
        <v>16000</v>
      </c>
      <c r="E7" s="23" t="s">
        <v>31</v>
      </c>
      <c r="F7" s="23" t="s">
        <v>32</v>
      </c>
      <c r="G7" s="23" t="s">
        <v>33</v>
      </c>
      <c r="H7" s="23" t="s">
        <v>34</v>
      </c>
      <c r="I7" s="23" t="s">
        <v>35</v>
      </c>
      <c r="J7" s="23" t="s">
        <v>36</v>
      </c>
      <c r="K7" s="50">
        <v>19716.5</v>
      </c>
      <c r="L7" s="23" t="s">
        <v>37</v>
      </c>
      <c r="M7" s="50">
        <f>176571916.84/10000</f>
        <v>17657.191684</v>
      </c>
      <c r="N7" s="51" t="s">
        <v>38</v>
      </c>
      <c r="O7" s="52" t="s">
        <v>39</v>
      </c>
      <c r="P7" s="53" t="s">
        <v>40</v>
      </c>
      <c r="Q7" s="73" t="s">
        <v>41</v>
      </c>
      <c r="R7" s="73">
        <v>20</v>
      </c>
      <c r="S7" s="105"/>
      <c r="T7" s="106"/>
      <c r="U7" s="107"/>
      <c r="V7" s="106"/>
      <c r="W7" s="106"/>
      <c r="X7" s="108" t="s">
        <v>42</v>
      </c>
      <c r="AC7" s="8"/>
      <c r="AD7" s="8"/>
    </row>
    <row r="8" s="2" customFormat="1" ht="25" customHeight="1" spans="1:24">
      <c r="A8" s="24"/>
      <c r="B8" s="24" t="s">
        <v>43</v>
      </c>
      <c r="C8" s="25">
        <f>C7</f>
        <v>44352.97</v>
      </c>
      <c r="D8" s="25">
        <f>D7</f>
        <v>16000</v>
      </c>
      <c r="E8" s="26" t="s">
        <v>44</v>
      </c>
      <c r="F8" s="26" t="s">
        <v>44</v>
      </c>
      <c r="G8" s="26" t="s">
        <v>44</v>
      </c>
      <c r="H8" s="26" t="s">
        <v>44</v>
      </c>
      <c r="I8" s="26" t="s">
        <v>44</v>
      </c>
      <c r="J8" s="26" t="s">
        <v>44</v>
      </c>
      <c r="K8" s="25">
        <f>K7</f>
        <v>19716.5</v>
      </c>
      <c r="L8" s="26" t="s">
        <v>44</v>
      </c>
      <c r="M8" s="25">
        <f>M7</f>
        <v>17657.191684</v>
      </c>
      <c r="N8" s="54"/>
      <c r="O8" s="24"/>
      <c r="P8" s="24"/>
      <c r="Q8" s="109"/>
      <c r="R8" s="110"/>
      <c r="S8" s="111"/>
      <c r="T8" s="112"/>
      <c r="U8" s="113"/>
      <c r="V8" s="112"/>
      <c r="W8" s="25"/>
      <c r="X8" s="114"/>
    </row>
    <row r="9" s="1" customFormat="1" ht="19" customHeight="1" spans="1:24">
      <c r="A9" s="27" t="s">
        <v>45</v>
      </c>
      <c r="B9" s="27"/>
      <c r="C9" s="27"/>
      <c r="D9" s="27"/>
      <c r="E9" s="27"/>
      <c r="F9" s="27"/>
      <c r="G9" s="27"/>
      <c r="H9" s="27"/>
      <c r="I9" s="27"/>
      <c r="J9" s="27"/>
      <c r="K9" s="27"/>
      <c r="L9" s="27"/>
      <c r="M9" s="27"/>
      <c r="N9" s="27"/>
      <c r="O9" s="27"/>
      <c r="P9" s="27"/>
      <c r="Q9" s="115"/>
      <c r="R9" s="116"/>
      <c r="S9" s="117"/>
      <c r="T9" s="117"/>
      <c r="U9" s="118"/>
      <c r="V9" s="117"/>
      <c r="W9" s="117"/>
      <c r="X9" s="119"/>
    </row>
    <row r="10" s="1" customFormat="1" ht="34" customHeight="1" spans="1:30">
      <c r="A10" s="20">
        <v>1</v>
      </c>
      <c r="B10" s="20" t="s">
        <v>46</v>
      </c>
      <c r="C10" s="20">
        <v>48500</v>
      </c>
      <c r="D10" s="20">
        <v>7372.5</v>
      </c>
      <c r="E10" s="28" t="s">
        <v>47</v>
      </c>
      <c r="F10" s="28" t="s">
        <v>48</v>
      </c>
      <c r="G10" s="28" t="s">
        <v>49</v>
      </c>
      <c r="H10" s="23" t="s">
        <v>50</v>
      </c>
      <c r="I10" s="42" t="s">
        <v>44</v>
      </c>
      <c r="J10" s="28" t="s">
        <v>51</v>
      </c>
      <c r="K10" s="55">
        <f>98375690.49/10000</f>
        <v>9837.569049</v>
      </c>
      <c r="L10" s="28" t="s">
        <v>52</v>
      </c>
      <c r="M10" s="56">
        <f>85920726.04/10000</f>
        <v>8592.072604</v>
      </c>
      <c r="N10" s="20" t="s">
        <v>38</v>
      </c>
      <c r="O10" s="57" t="s">
        <v>53</v>
      </c>
      <c r="P10" s="58" t="s">
        <v>54</v>
      </c>
      <c r="Q10" s="120" t="s">
        <v>55</v>
      </c>
      <c r="R10" s="120"/>
      <c r="S10" s="121"/>
      <c r="T10" s="106"/>
      <c r="U10" s="107"/>
      <c r="V10" s="106"/>
      <c r="W10" s="106"/>
      <c r="X10" s="108" t="s">
        <v>56</v>
      </c>
      <c r="AC10" s="8"/>
      <c r="AD10" s="8"/>
    </row>
    <row r="11" s="2" customFormat="1" ht="25" customHeight="1" spans="1:24">
      <c r="A11" s="29"/>
      <c r="B11" s="29" t="s">
        <v>43</v>
      </c>
      <c r="C11" s="29">
        <f>C10</f>
        <v>48500</v>
      </c>
      <c r="D11" s="30">
        <f>D10</f>
        <v>7372.5</v>
      </c>
      <c r="E11" s="26" t="s">
        <v>44</v>
      </c>
      <c r="F11" s="26" t="s">
        <v>44</v>
      </c>
      <c r="G11" s="26" t="s">
        <v>44</v>
      </c>
      <c r="H11" s="26" t="s">
        <v>44</v>
      </c>
      <c r="I11" s="26" t="s">
        <v>44</v>
      </c>
      <c r="J11" s="26" t="s">
        <v>44</v>
      </c>
      <c r="K11" s="26">
        <f>K10</f>
        <v>9837.569049</v>
      </c>
      <c r="L11" s="26" t="s">
        <v>44</v>
      </c>
      <c r="M11" s="30">
        <f>M10</f>
        <v>8592.072604</v>
      </c>
      <c r="N11" s="59"/>
      <c r="O11" s="29"/>
      <c r="P11" s="29"/>
      <c r="Q11" s="122"/>
      <c r="R11" s="123"/>
      <c r="S11" s="124"/>
      <c r="T11" s="125"/>
      <c r="U11" s="126"/>
      <c r="V11" s="125"/>
      <c r="W11" s="30"/>
      <c r="X11" s="127"/>
    </row>
    <row r="12" s="2" customFormat="1" ht="25" customHeight="1" spans="1:24">
      <c r="A12" s="29"/>
      <c r="B12" s="29" t="s">
        <v>57</v>
      </c>
      <c r="C12" s="30">
        <f>C8+C11</f>
        <v>92852.97</v>
      </c>
      <c r="D12" s="30">
        <f>D8+D11</f>
        <v>23372.5</v>
      </c>
      <c r="E12" s="26" t="s">
        <v>44</v>
      </c>
      <c r="F12" s="26" t="s">
        <v>44</v>
      </c>
      <c r="G12" s="26" t="s">
        <v>44</v>
      </c>
      <c r="H12" s="26" t="s">
        <v>44</v>
      </c>
      <c r="I12" s="26" t="s">
        <v>44</v>
      </c>
      <c r="J12" s="26" t="s">
        <v>44</v>
      </c>
      <c r="K12" s="26">
        <f>K8+K11</f>
        <v>29554.069049</v>
      </c>
      <c r="L12" s="26" t="s">
        <v>44</v>
      </c>
      <c r="M12" s="30">
        <f>M8+M11</f>
        <v>26249.264288</v>
      </c>
      <c r="N12" s="59"/>
      <c r="O12" s="29"/>
      <c r="P12" s="29"/>
      <c r="Q12" s="122"/>
      <c r="R12" s="123"/>
      <c r="S12" s="124"/>
      <c r="T12" s="125"/>
      <c r="U12" s="126"/>
      <c r="V12" s="125"/>
      <c r="W12" s="30"/>
      <c r="X12" s="127"/>
    </row>
    <row r="13" s="1" customFormat="1" ht="24" customHeight="1" spans="1:30">
      <c r="A13" s="17" t="s">
        <v>58</v>
      </c>
      <c r="B13" s="17"/>
      <c r="C13" s="17"/>
      <c r="D13" s="17"/>
      <c r="E13" s="17"/>
      <c r="F13" s="17"/>
      <c r="G13" s="17"/>
      <c r="H13" s="17"/>
      <c r="I13" s="17"/>
      <c r="J13" s="17"/>
      <c r="K13" s="17"/>
      <c r="L13" s="17"/>
      <c r="M13" s="17"/>
      <c r="N13" s="17"/>
      <c r="O13" s="17"/>
      <c r="P13" s="17"/>
      <c r="Q13" s="128"/>
      <c r="R13" s="128"/>
      <c r="S13" s="17"/>
      <c r="T13" s="17"/>
      <c r="U13" s="17"/>
      <c r="V13" s="17"/>
      <c r="W13" s="17"/>
      <c r="X13" s="129"/>
      <c r="AC13" s="8"/>
      <c r="AD13" s="8"/>
    </row>
    <row r="14" s="1" customFormat="1" ht="35" customHeight="1" spans="1:30">
      <c r="A14" s="20" t="s">
        <v>44</v>
      </c>
      <c r="B14" s="20" t="s">
        <v>59</v>
      </c>
      <c r="C14" s="20">
        <v>40000</v>
      </c>
      <c r="D14" s="20">
        <v>6000</v>
      </c>
      <c r="E14" s="28" t="s">
        <v>60</v>
      </c>
      <c r="F14" s="28" t="s">
        <v>61</v>
      </c>
      <c r="G14" s="28" t="s">
        <v>62</v>
      </c>
      <c r="H14" s="28" t="s">
        <v>63</v>
      </c>
      <c r="I14" s="28" t="s">
        <v>64</v>
      </c>
      <c r="J14" s="28" t="s">
        <v>65</v>
      </c>
      <c r="K14" s="60">
        <v>6672.4</v>
      </c>
      <c r="L14" s="40"/>
      <c r="M14" s="40"/>
      <c r="N14" s="61" t="s">
        <v>66</v>
      </c>
      <c r="O14" s="62" t="s">
        <v>67</v>
      </c>
      <c r="P14" s="58" t="s">
        <v>68</v>
      </c>
      <c r="Q14" s="120" t="s">
        <v>69</v>
      </c>
      <c r="R14" s="130">
        <v>49</v>
      </c>
      <c r="S14" s="105" t="s">
        <v>44</v>
      </c>
      <c r="T14" s="106"/>
      <c r="U14" s="107"/>
      <c r="V14" s="106"/>
      <c r="W14" s="106"/>
      <c r="X14" s="131"/>
      <c r="AC14" s="8"/>
      <c r="AD14" s="8"/>
    </row>
    <row r="15" s="1" customFormat="1" ht="45" customHeight="1" spans="1:30">
      <c r="A15" s="31">
        <v>1</v>
      </c>
      <c r="B15" s="21" t="s">
        <v>70</v>
      </c>
      <c r="C15" s="22">
        <v>53822</v>
      </c>
      <c r="D15" s="22">
        <v>25785</v>
      </c>
      <c r="E15" s="23" t="s">
        <v>71</v>
      </c>
      <c r="F15" s="23" t="s">
        <v>72</v>
      </c>
      <c r="G15" s="23" t="s">
        <v>73</v>
      </c>
      <c r="H15" s="23" t="s">
        <v>74</v>
      </c>
      <c r="I15" s="23" t="s">
        <v>75</v>
      </c>
      <c r="J15" s="23" t="s">
        <v>76</v>
      </c>
      <c r="K15" s="50">
        <v>31413.35</v>
      </c>
      <c r="L15" s="21"/>
      <c r="M15" s="50"/>
      <c r="N15" s="51" t="s">
        <v>77</v>
      </c>
      <c r="O15" s="52" t="s">
        <v>78</v>
      </c>
      <c r="P15" s="53" t="s">
        <v>79</v>
      </c>
      <c r="Q15" s="73" t="s">
        <v>55</v>
      </c>
      <c r="R15" s="132">
        <v>22</v>
      </c>
      <c r="S15" s="105" t="s">
        <v>80</v>
      </c>
      <c r="T15" s="106"/>
      <c r="U15" s="107"/>
      <c r="V15" s="106"/>
      <c r="W15" s="106"/>
      <c r="X15" s="108" t="s">
        <v>81</v>
      </c>
      <c r="AC15" s="8"/>
      <c r="AD15" s="8"/>
    </row>
    <row r="16" s="3" customFormat="1" ht="54" customHeight="1" spans="1:24">
      <c r="A16" s="31">
        <v>2</v>
      </c>
      <c r="B16" s="31" t="s">
        <v>82</v>
      </c>
      <c r="C16" s="32">
        <v>35000</v>
      </c>
      <c r="D16" s="32">
        <v>11599.6</v>
      </c>
      <c r="E16" s="23" t="s">
        <v>83</v>
      </c>
      <c r="F16" s="23" t="s">
        <v>84</v>
      </c>
      <c r="G16" s="23" t="s">
        <v>85</v>
      </c>
      <c r="H16" s="23" t="s">
        <v>86</v>
      </c>
      <c r="I16" s="23" t="s">
        <v>87</v>
      </c>
      <c r="J16" s="23" t="s">
        <v>88</v>
      </c>
      <c r="K16" s="31">
        <v>15987.56</v>
      </c>
      <c r="L16" s="31"/>
      <c r="M16" s="31"/>
      <c r="N16" s="51" t="s">
        <v>77</v>
      </c>
      <c r="O16" s="52" t="s">
        <v>89</v>
      </c>
      <c r="P16" s="53" t="s">
        <v>90</v>
      </c>
      <c r="Q16" s="73" t="s">
        <v>55</v>
      </c>
      <c r="R16" s="132">
        <v>22</v>
      </c>
      <c r="S16" s="105" t="s">
        <v>80</v>
      </c>
      <c r="T16" s="26"/>
      <c r="U16" s="133"/>
      <c r="V16" s="73"/>
      <c r="W16" s="73"/>
      <c r="X16" s="108" t="s">
        <v>81</v>
      </c>
    </row>
    <row r="17" s="1" customFormat="1" ht="45" customHeight="1" spans="1:30">
      <c r="A17" s="20">
        <v>3</v>
      </c>
      <c r="B17" s="21" t="s">
        <v>91</v>
      </c>
      <c r="C17" s="22">
        <v>103000</v>
      </c>
      <c r="D17" s="22">
        <v>62372</v>
      </c>
      <c r="E17" s="23" t="s">
        <v>92</v>
      </c>
      <c r="F17" s="23" t="s">
        <v>93</v>
      </c>
      <c r="G17" s="23" t="s">
        <v>94</v>
      </c>
      <c r="H17" s="23" t="s">
        <v>86</v>
      </c>
      <c r="I17" s="23" t="s">
        <v>87</v>
      </c>
      <c r="J17" s="23" t="s">
        <v>95</v>
      </c>
      <c r="K17" s="50">
        <v>52960.53</v>
      </c>
      <c r="L17" s="21"/>
      <c r="M17" s="50"/>
      <c r="N17" s="63" t="s">
        <v>96</v>
      </c>
      <c r="O17" s="52" t="s">
        <v>97</v>
      </c>
      <c r="P17" s="53" t="s">
        <v>98</v>
      </c>
      <c r="Q17" s="73" t="s">
        <v>99</v>
      </c>
      <c r="R17" s="132">
        <v>22</v>
      </c>
      <c r="S17" s="105" t="s">
        <v>100</v>
      </c>
      <c r="T17" s="106"/>
      <c r="U17" s="107"/>
      <c r="V17" s="106"/>
      <c r="W17" s="106"/>
      <c r="X17" s="108" t="s">
        <v>101</v>
      </c>
      <c r="AC17" s="8"/>
      <c r="AD17" s="8"/>
    </row>
    <row r="18" s="1" customFormat="1" ht="45" customHeight="1" spans="1:30">
      <c r="A18" s="31">
        <v>4</v>
      </c>
      <c r="B18" s="21" t="s">
        <v>102</v>
      </c>
      <c r="C18" s="22">
        <v>207500</v>
      </c>
      <c r="D18" s="22">
        <v>77235</v>
      </c>
      <c r="E18" s="23" t="s">
        <v>103</v>
      </c>
      <c r="F18" s="23" t="s">
        <v>104</v>
      </c>
      <c r="G18" s="23" t="s">
        <v>105</v>
      </c>
      <c r="H18" s="23" t="s">
        <v>106</v>
      </c>
      <c r="I18" s="23" t="s">
        <v>107</v>
      </c>
      <c r="J18" s="23" t="s">
        <v>108</v>
      </c>
      <c r="K18" s="50">
        <v>79500.17</v>
      </c>
      <c r="L18" s="21"/>
      <c r="M18" s="50"/>
      <c r="N18" s="63" t="s">
        <v>109</v>
      </c>
      <c r="O18" s="52" t="s">
        <v>110</v>
      </c>
      <c r="P18" s="52" t="s">
        <v>111</v>
      </c>
      <c r="Q18" s="73" t="s">
        <v>55</v>
      </c>
      <c r="R18" s="132">
        <v>19</v>
      </c>
      <c r="S18" s="105" t="s">
        <v>80</v>
      </c>
      <c r="T18" s="106"/>
      <c r="U18" s="107"/>
      <c r="V18" s="106"/>
      <c r="W18" s="106"/>
      <c r="X18" s="108" t="s">
        <v>112</v>
      </c>
      <c r="AC18" s="8"/>
      <c r="AD18" s="8"/>
    </row>
    <row r="19" s="1" customFormat="1" ht="67" customHeight="1" spans="1:30">
      <c r="A19" s="31">
        <v>5</v>
      </c>
      <c r="B19" s="33" t="s">
        <v>113</v>
      </c>
      <c r="C19" s="20">
        <f>87348.1+1843+59477</f>
        <v>148668.1</v>
      </c>
      <c r="D19" s="20">
        <f>11433.47+337.51+8120.64+4048.42</f>
        <v>23940.04</v>
      </c>
      <c r="E19" s="28" t="s">
        <v>114</v>
      </c>
      <c r="F19" s="28" t="s">
        <v>115</v>
      </c>
      <c r="G19" s="28" t="s">
        <v>116</v>
      </c>
      <c r="H19" s="28" t="s">
        <v>117</v>
      </c>
      <c r="I19" s="28" t="s">
        <v>118</v>
      </c>
      <c r="J19" s="28" t="s">
        <v>119</v>
      </c>
      <c r="K19" s="64">
        <v>28326.7</v>
      </c>
      <c r="L19" s="28"/>
      <c r="M19" s="28"/>
      <c r="N19" s="28" t="s">
        <v>120</v>
      </c>
      <c r="O19" s="28" t="s">
        <v>121</v>
      </c>
      <c r="P19" s="28" t="s">
        <v>122</v>
      </c>
      <c r="Q19" s="64" t="s">
        <v>69</v>
      </c>
      <c r="R19" s="134">
        <v>17</v>
      </c>
      <c r="S19" s="28" t="s">
        <v>100</v>
      </c>
      <c r="T19" s="125"/>
      <c r="U19" s="84"/>
      <c r="V19" s="85"/>
      <c r="W19" s="85"/>
      <c r="X19" s="135" t="s">
        <v>123</v>
      </c>
      <c r="AC19" s="8"/>
      <c r="AD19" s="8"/>
    </row>
    <row r="20" s="1" customFormat="1" ht="59" customHeight="1" spans="1:30">
      <c r="A20" s="20">
        <v>6</v>
      </c>
      <c r="B20" s="21" t="s">
        <v>124</v>
      </c>
      <c r="C20" s="22">
        <v>150576</v>
      </c>
      <c r="D20" s="22">
        <v>24550</v>
      </c>
      <c r="E20" s="23" t="s">
        <v>125</v>
      </c>
      <c r="F20" s="23" t="s">
        <v>126</v>
      </c>
      <c r="G20" s="23" t="s">
        <v>127</v>
      </c>
      <c r="H20" s="23" t="s">
        <v>128</v>
      </c>
      <c r="I20" s="23" t="s">
        <v>129</v>
      </c>
      <c r="J20" s="28" t="s">
        <v>130</v>
      </c>
      <c r="K20" s="50">
        <v>23441.8</v>
      </c>
      <c r="L20" s="21"/>
      <c r="M20" s="50"/>
      <c r="N20" s="63" t="s">
        <v>131</v>
      </c>
      <c r="O20" s="52" t="s">
        <v>132</v>
      </c>
      <c r="P20" s="53" t="s">
        <v>133</v>
      </c>
      <c r="Q20" s="136" t="s">
        <v>69</v>
      </c>
      <c r="R20" s="137">
        <v>16</v>
      </c>
      <c r="S20" s="105" t="s">
        <v>100</v>
      </c>
      <c r="T20" s="106"/>
      <c r="U20" s="107"/>
      <c r="V20" s="106"/>
      <c r="W20" s="106"/>
      <c r="X20" s="108" t="s">
        <v>123</v>
      </c>
      <c r="AC20" s="8"/>
      <c r="AD20" s="8"/>
    </row>
    <row r="21" s="4" customFormat="1" ht="25" customHeight="1" spans="1:30">
      <c r="A21" s="34"/>
      <c r="B21" s="35" t="s">
        <v>134</v>
      </c>
      <c r="C21" s="26">
        <f>C15+C16+C17+C18+C19+C20</f>
        <v>698566.1</v>
      </c>
      <c r="D21" s="26">
        <f>D15+D16+D17+D18+D19+D20</f>
        <v>225481.64</v>
      </c>
      <c r="E21" s="26" t="s">
        <v>44</v>
      </c>
      <c r="F21" s="26" t="s">
        <v>44</v>
      </c>
      <c r="G21" s="26" t="s">
        <v>44</v>
      </c>
      <c r="H21" s="26" t="s">
        <v>44</v>
      </c>
      <c r="I21" s="26" t="s">
        <v>44</v>
      </c>
      <c r="J21" s="26" t="s">
        <v>44</v>
      </c>
      <c r="K21" s="26">
        <f>K15+K16+K17+K18+K19+K20</f>
        <v>231630.11</v>
      </c>
      <c r="L21" s="26" t="s">
        <v>44</v>
      </c>
      <c r="M21" s="26" t="s">
        <v>44</v>
      </c>
      <c r="N21" s="65"/>
      <c r="O21" s="66"/>
      <c r="P21" s="66"/>
      <c r="Q21" s="138"/>
      <c r="R21" s="138"/>
      <c r="S21" s="66"/>
      <c r="T21" s="106"/>
      <c r="U21" s="107"/>
      <c r="V21" s="139"/>
      <c r="W21" s="139"/>
      <c r="X21" s="140"/>
      <c r="AC21" s="47"/>
      <c r="AD21" s="47"/>
    </row>
    <row r="22" s="4" customFormat="1" ht="25" customHeight="1" spans="1:30">
      <c r="A22" s="36" t="s">
        <v>135</v>
      </c>
      <c r="B22" s="37"/>
      <c r="C22" s="37"/>
      <c r="D22" s="37"/>
      <c r="E22" s="37"/>
      <c r="F22" s="37"/>
      <c r="G22" s="37"/>
      <c r="H22" s="37"/>
      <c r="I22" s="37"/>
      <c r="J22" s="37"/>
      <c r="K22" s="37"/>
      <c r="L22" s="37"/>
      <c r="M22" s="37"/>
      <c r="N22" s="67"/>
      <c r="O22" s="68"/>
      <c r="P22" s="68"/>
      <c r="Q22" s="141"/>
      <c r="R22" s="141"/>
      <c r="S22" s="68"/>
      <c r="T22" s="37"/>
      <c r="U22" s="142"/>
      <c r="V22" s="37"/>
      <c r="W22" s="37"/>
      <c r="X22" s="143"/>
      <c r="AC22" s="47"/>
      <c r="AD22" s="47"/>
    </row>
    <row r="23" s="1" customFormat="1" ht="83" customHeight="1" spans="1:30">
      <c r="A23" s="20">
        <v>1</v>
      </c>
      <c r="B23" s="21" t="s">
        <v>136</v>
      </c>
      <c r="C23" s="22">
        <v>65485.15</v>
      </c>
      <c r="D23" s="22">
        <v>23338.7</v>
      </c>
      <c r="E23" s="23" t="s">
        <v>137</v>
      </c>
      <c r="F23" s="23" t="s">
        <v>138</v>
      </c>
      <c r="G23" s="23" t="s">
        <v>139</v>
      </c>
      <c r="H23" s="28" t="s">
        <v>140</v>
      </c>
      <c r="I23" s="28" t="s">
        <v>141</v>
      </c>
      <c r="J23" s="21"/>
      <c r="K23" s="50"/>
      <c r="L23" s="21"/>
      <c r="M23" s="50"/>
      <c r="N23" s="63" t="s">
        <v>142</v>
      </c>
      <c r="O23" s="52" t="s">
        <v>143</v>
      </c>
      <c r="P23" s="69" t="s">
        <v>143</v>
      </c>
      <c r="Q23" s="136" t="s">
        <v>55</v>
      </c>
      <c r="R23" s="137">
        <v>7</v>
      </c>
      <c r="S23" s="105" t="s">
        <v>144</v>
      </c>
      <c r="T23" s="106"/>
      <c r="U23" s="107"/>
      <c r="V23" s="106"/>
      <c r="W23" s="106"/>
      <c r="X23" s="108" t="s">
        <v>145</v>
      </c>
      <c r="AC23" s="8"/>
      <c r="AD23" s="8"/>
    </row>
    <row r="24" s="5" customFormat="1" ht="49" customHeight="1" spans="1:24">
      <c r="A24" s="20">
        <v>2</v>
      </c>
      <c r="B24" s="31" t="s">
        <v>146</v>
      </c>
      <c r="C24" s="32" t="s">
        <v>147</v>
      </c>
      <c r="D24" s="32">
        <v>3500</v>
      </c>
      <c r="E24" s="23" t="s">
        <v>148</v>
      </c>
      <c r="F24" s="23" t="s">
        <v>149</v>
      </c>
      <c r="G24" s="23" t="s">
        <v>150</v>
      </c>
      <c r="H24" s="28" t="s">
        <v>151</v>
      </c>
      <c r="I24" s="28" t="s">
        <v>152</v>
      </c>
      <c r="J24" s="28" t="s">
        <v>153</v>
      </c>
      <c r="K24" s="70">
        <f>30780280.43/10000</f>
        <v>3078.028043</v>
      </c>
      <c r="L24" s="31"/>
      <c r="M24" s="31"/>
      <c r="N24" s="71" t="s">
        <v>154</v>
      </c>
      <c r="O24" s="72" t="s">
        <v>155</v>
      </c>
      <c r="P24" s="73" t="s">
        <v>155</v>
      </c>
      <c r="Q24" s="73" t="s">
        <v>55</v>
      </c>
      <c r="R24" s="132">
        <v>6</v>
      </c>
      <c r="S24" s="105" t="s">
        <v>156</v>
      </c>
      <c r="T24" s="26"/>
      <c r="U24" s="133"/>
      <c r="V24" s="73"/>
      <c r="W24" s="73"/>
      <c r="X24" s="108" t="s">
        <v>157</v>
      </c>
    </row>
    <row r="25" s="5" customFormat="1" ht="49" customHeight="1" spans="1:24">
      <c r="A25" s="20">
        <v>3</v>
      </c>
      <c r="B25" s="31" t="s">
        <v>158</v>
      </c>
      <c r="C25" s="32">
        <v>9797</v>
      </c>
      <c r="D25" s="32">
        <v>2938.7</v>
      </c>
      <c r="E25" s="23" t="s">
        <v>159</v>
      </c>
      <c r="F25" s="23" t="s">
        <v>160</v>
      </c>
      <c r="G25" s="23" t="s">
        <v>75</v>
      </c>
      <c r="H25" s="28" t="s">
        <v>161</v>
      </c>
      <c r="I25" s="28" t="s">
        <v>162</v>
      </c>
      <c r="J25" s="28" t="s">
        <v>163</v>
      </c>
      <c r="K25" s="74">
        <f>29404371.67/10000</f>
        <v>2940.437167</v>
      </c>
      <c r="L25" s="31"/>
      <c r="M25" s="31"/>
      <c r="N25" s="71" t="s">
        <v>164</v>
      </c>
      <c r="O25" s="72" t="s">
        <v>155</v>
      </c>
      <c r="P25" s="73" t="s">
        <v>155</v>
      </c>
      <c r="Q25" s="73" t="s">
        <v>55</v>
      </c>
      <c r="R25" s="132">
        <v>5</v>
      </c>
      <c r="S25" s="105" t="s">
        <v>165</v>
      </c>
      <c r="T25" s="26"/>
      <c r="U25" s="133"/>
      <c r="V25" s="26"/>
      <c r="W25" s="26"/>
      <c r="X25" s="108" t="s">
        <v>166</v>
      </c>
    </row>
    <row r="26" s="5" customFormat="1" ht="51" customHeight="1" spans="1:24">
      <c r="A26" s="20">
        <v>4</v>
      </c>
      <c r="B26" s="31" t="s">
        <v>167</v>
      </c>
      <c r="C26" s="32">
        <v>69.52</v>
      </c>
      <c r="D26" s="32">
        <v>1082.9</v>
      </c>
      <c r="E26" s="38" t="s">
        <v>168</v>
      </c>
      <c r="F26" s="28" t="s">
        <v>169</v>
      </c>
      <c r="G26" s="38" t="s">
        <v>170</v>
      </c>
      <c r="H26" s="28" t="s">
        <v>171</v>
      </c>
      <c r="I26" s="28" t="s">
        <v>152</v>
      </c>
      <c r="J26" s="28" t="s">
        <v>172</v>
      </c>
      <c r="K26" s="55">
        <v>1373.61</v>
      </c>
      <c r="L26" s="31"/>
      <c r="M26" s="31"/>
      <c r="N26" s="71" t="s">
        <v>173</v>
      </c>
      <c r="O26" s="72" t="s">
        <v>174</v>
      </c>
      <c r="P26" s="73" t="s">
        <v>174</v>
      </c>
      <c r="Q26" s="73" t="s">
        <v>55</v>
      </c>
      <c r="R26" s="132">
        <v>5</v>
      </c>
      <c r="S26" s="105" t="s">
        <v>80</v>
      </c>
      <c r="T26" s="26"/>
      <c r="U26" s="133"/>
      <c r="V26" s="73"/>
      <c r="W26" s="73"/>
      <c r="X26" s="108" t="s">
        <v>175</v>
      </c>
    </row>
    <row r="27" s="4" customFormat="1" ht="25" customHeight="1" spans="1:30">
      <c r="A27" s="34"/>
      <c r="B27" s="35" t="s">
        <v>134</v>
      </c>
      <c r="C27" s="26">
        <f>C23+C25+C26</f>
        <v>75351.67</v>
      </c>
      <c r="D27" s="26">
        <f>D23+D24+D25+D26</f>
        <v>30860.3</v>
      </c>
      <c r="E27" s="26" t="s">
        <v>44</v>
      </c>
      <c r="F27" s="26" t="s">
        <v>44</v>
      </c>
      <c r="G27" s="26" t="s">
        <v>44</v>
      </c>
      <c r="H27" s="26" t="s">
        <v>44</v>
      </c>
      <c r="I27" s="26" t="s">
        <v>44</v>
      </c>
      <c r="J27" s="26" t="s">
        <v>44</v>
      </c>
      <c r="K27" s="26">
        <f>K23+K24+K25+K26</f>
        <v>7392.07521</v>
      </c>
      <c r="L27" s="26" t="s">
        <v>44</v>
      </c>
      <c r="M27" s="26" t="s">
        <v>44</v>
      </c>
      <c r="N27" s="65"/>
      <c r="O27" s="66"/>
      <c r="P27" s="66"/>
      <c r="Q27" s="138"/>
      <c r="R27" s="138"/>
      <c r="S27" s="66"/>
      <c r="T27" s="106"/>
      <c r="U27" s="107"/>
      <c r="V27" s="139"/>
      <c r="W27" s="139"/>
      <c r="X27" s="140"/>
      <c r="AC27" s="47"/>
      <c r="AD27" s="47"/>
    </row>
    <row r="28" s="4" customFormat="1" ht="25" customHeight="1" spans="1:30">
      <c r="A28" s="36" t="s">
        <v>176</v>
      </c>
      <c r="B28" s="37"/>
      <c r="C28" s="37"/>
      <c r="D28" s="37"/>
      <c r="E28" s="37"/>
      <c r="F28" s="37"/>
      <c r="G28" s="37"/>
      <c r="H28" s="37"/>
      <c r="I28" s="37"/>
      <c r="J28" s="37"/>
      <c r="K28" s="37"/>
      <c r="L28" s="37"/>
      <c r="M28" s="37"/>
      <c r="N28" s="67"/>
      <c r="O28" s="68"/>
      <c r="P28" s="68"/>
      <c r="Q28" s="141"/>
      <c r="R28" s="141"/>
      <c r="S28" s="68"/>
      <c r="T28" s="37"/>
      <c r="U28" s="142"/>
      <c r="V28" s="37"/>
      <c r="W28" s="37"/>
      <c r="X28" s="143"/>
      <c r="AC28" s="47"/>
      <c r="AD28" s="47"/>
    </row>
    <row r="29" s="5" customFormat="1" ht="51" customHeight="1" spans="1:24">
      <c r="A29" s="20">
        <v>1</v>
      </c>
      <c r="B29" s="31" t="s">
        <v>177</v>
      </c>
      <c r="C29" s="32">
        <v>6451.89</v>
      </c>
      <c r="D29" s="32">
        <v>3460.17</v>
      </c>
      <c r="E29" s="23" t="s">
        <v>178</v>
      </c>
      <c r="F29" s="23" t="s">
        <v>179</v>
      </c>
      <c r="G29" s="23" t="s">
        <v>180</v>
      </c>
      <c r="H29" s="23" t="s">
        <v>181</v>
      </c>
      <c r="I29" s="23" t="s">
        <v>182</v>
      </c>
      <c r="J29" s="28" t="s">
        <v>182</v>
      </c>
      <c r="K29" s="70">
        <f>35805833.1/10000</f>
        <v>3580.58331</v>
      </c>
      <c r="L29" s="31"/>
      <c r="M29" s="31"/>
      <c r="N29" s="71" t="s">
        <v>183</v>
      </c>
      <c r="O29" s="72" t="s">
        <v>184</v>
      </c>
      <c r="P29" s="73" t="s">
        <v>185</v>
      </c>
      <c r="Q29" s="73" t="s">
        <v>55</v>
      </c>
      <c r="R29" s="132">
        <v>4</v>
      </c>
      <c r="S29" s="105" t="s">
        <v>165</v>
      </c>
      <c r="T29" s="73"/>
      <c r="U29" s="144"/>
      <c r="V29" s="73"/>
      <c r="W29" s="73"/>
      <c r="X29" s="108" t="s">
        <v>157</v>
      </c>
    </row>
    <row r="30" s="3" customFormat="1" ht="86" customHeight="1" spans="1:24">
      <c r="A30" s="20">
        <v>2</v>
      </c>
      <c r="B30" s="31" t="s">
        <v>186</v>
      </c>
      <c r="C30" s="32">
        <v>65800</v>
      </c>
      <c r="D30" s="32">
        <v>22618.5</v>
      </c>
      <c r="E30" s="23" t="s">
        <v>187</v>
      </c>
      <c r="F30" s="23" t="s">
        <v>188</v>
      </c>
      <c r="G30" s="23" t="s">
        <v>189</v>
      </c>
      <c r="H30" s="23" t="s">
        <v>190</v>
      </c>
      <c r="I30" s="23" t="s">
        <v>191</v>
      </c>
      <c r="J30" s="38"/>
      <c r="K30" s="31"/>
      <c r="L30" s="31"/>
      <c r="M30" s="31"/>
      <c r="N30" s="75" t="s">
        <v>142</v>
      </c>
      <c r="O30" s="72" t="s">
        <v>192</v>
      </c>
      <c r="P30" s="73" t="s">
        <v>193</v>
      </c>
      <c r="Q30" s="73" t="s">
        <v>55</v>
      </c>
      <c r="R30" s="132">
        <v>1</v>
      </c>
      <c r="S30" s="105" t="s">
        <v>144</v>
      </c>
      <c r="T30" s="26"/>
      <c r="U30" s="133"/>
      <c r="V30" s="73"/>
      <c r="W30" s="73"/>
      <c r="X30" s="108" t="s">
        <v>194</v>
      </c>
    </row>
    <row r="31" s="4" customFormat="1" ht="25" customHeight="1" spans="1:30">
      <c r="A31" s="34"/>
      <c r="B31" s="35" t="s">
        <v>134</v>
      </c>
      <c r="C31" s="26">
        <f>C29+C30</f>
        <v>72251.89</v>
      </c>
      <c r="D31" s="26">
        <f>D29+D30</f>
        <v>26078.67</v>
      </c>
      <c r="E31" s="26" t="s">
        <v>44</v>
      </c>
      <c r="F31" s="26" t="s">
        <v>44</v>
      </c>
      <c r="G31" s="26" t="s">
        <v>44</v>
      </c>
      <c r="H31" s="26" t="s">
        <v>44</v>
      </c>
      <c r="I31" s="26" t="s">
        <v>44</v>
      </c>
      <c r="J31" s="26" t="s">
        <v>44</v>
      </c>
      <c r="K31" s="26">
        <f>K29+K30</f>
        <v>3580.58331</v>
      </c>
      <c r="L31" s="26" t="s">
        <v>44</v>
      </c>
      <c r="M31" s="26" t="s">
        <v>44</v>
      </c>
      <c r="N31" s="65"/>
      <c r="O31" s="66"/>
      <c r="P31" s="66"/>
      <c r="Q31" s="138"/>
      <c r="R31" s="138"/>
      <c r="S31" s="66"/>
      <c r="T31" s="106"/>
      <c r="U31" s="107"/>
      <c r="V31" s="139"/>
      <c r="W31" s="139"/>
      <c r="X31" s="140"/>
      <c r="AC31" s="47"/>
      <c r="AD31" s="47"/>
    </row>
    <row r="32" s="4" customFormat="1" ht="25" customHeight="1" spans="1:30">
      <c r="A32" s="34"/>
      <c r="B32" s="35" t="s">
        <v>195</v>
      </c>
      <c r="C32" s="26">
        <f>C21+C27+C31</f>
        <v>846169.66</v>
      </c>
      <c r="D32" s="26">
        <f>D21+D27+D31</f>
        <v>282420.61</v>
      </c>
      <c r="E32" s="26" t="s">
        <v>44</v>
      </c>
      <c r="F32" s="26" t="s">
        <v>44</v>
      </c>
      <c r="G32" s="26" t="s">
        <v>44</v>
      </c>
      <c r="H32" s="26" t="s">
        <v>44</v>
      </c>
      <c r="I32" s="26" t="s">
        <v>44</v>
      </c>
      <c r="J32" s="26" t="s">
        <v>44</v>
      </c>
      <c r="K32" s="26">
        <f>K21+K27+K31</f>
        <v>242602.76852</v>
      </c>
      <c r="L32" s="26" t="s">
        <v>44</v>
      </c>
      <c r="M32" s="26" t="s">
        <v>44</v>
      </c>
      <c r="N32" s="66"/>
      <c r="O32" s="66"/>
      <c r="P32" s="66"/>
      <c r="Q32" s="138"/>
      <c r="R32" s="138"/>
      <c r="S32" s="66"/>
      <c r="T32" s="106"/>
      <c r="U32" s="107"/>
      <c r="V32" s="139"/>
      <c r="W32" s="139"/>
      <c r="X32" s="140"/>
      <c r="AC32" s="47"/>
      <c r="AD32" s="47"/>
    </row>
    <row r="33" s="4" customFormat="1" ht="25" customHeight="1" spans="1:30">
      <c r="A33" s="34"/>
      <c r="B33" s="39" t="s">
        <v>196</v>
      </c>
      <c r="C33" s="26">
        <f>C12+C21+C27+C31</f>
        <v>939022.63</v>
      </c>
      <c r="D33" s="26">
        <f>D12+D21+D27+D31</f>
        <v>305793.11</v>
      </c>
      <c r="E33" s="26" t="s">
        <v>44</v>
      </c>
      <c r="F33" s="26" t="s">
        <v>44</v>
      </c>
      <c r="G33" s="26" t="s">
        <v>44</v>
      </c>
      <c r="H33" s="26" t="s">
        <v>44</v>
      </c>
      <c r="I33" s="26" t="s">
        <v>44</v>
      </c>
      <c r="J33" s="26" t="s">
        <v>44</v>
      </c>
      <c r="K33" s="26">
        <f>K12+K21+K27+K31</f>
        <v>272156.837569</v>
      </c>
      <c r="L33" s="26" t="s">
        <v>44</v>
      </c>
      <c r="M33" s="26">
        <f>M12</f>
        <v>26249.264288</v>
      </c>
      <c r="N33" s="66"/>
      <c r="O33" s="66"/>
      <c r="P33" s="66"/>
      <c r="Q33" s="138"/>
      <c r="R33" s="138"/>
      <c r="S33" s="66"/>
      <c r="T33" s="106"/>
      <c r="U33" s="107"/>
      <c r="V33" s="35"/>
      <c r="W33" s="35"/>
      <c r="X33" s="140"/>
      <c r="AC33" s="47"/>
      <c r="AD33" s="47"/>
    </row>
    <row r="34" s="4" customFormat="1" ht="25" customHeight="1" spans="1:30">
      <c r="A34" s="34"/>
      <c r="B34" s="39" t="s">
        <v>197</v>
      </c>
      <c r="C34" s="26">
        <f>C33</f>
        <v>939022.63</v>
      </c>
      <c r="D34" s="26">
        <f>D33</f>
        <v>305793.11</v>
      </c>
      <c r="E34" s="26" t="s">
        <v>44</v>
      </c>
      <c r="F34" s="26" t="s">
        <v>44</v>
      </c>
      <c r="G34" s="26" t="s">
        <v>44</v>
      </c>
      <c r="H34" s="26" t="s">
        <v>44</v>
      </c>
      <c r="I34" s="26" t="s">
        <v>44</v>
      </c>
      <c r="J34" s="26" t="s">
        <v>44</v>
      </c>
      <c r="K34" s="26">
        <f>K33</f>
        <v>272156.837569</v>
      </c>
      <c r="L34" s="26" t="s">
        <v>44</v>
      </c>
      <c r="M34" s="26">
        <f>M33</f>
        <v>26249.264288</v>
      </c>
      <c r="N34" s="66"/>
      <c r="O34" s="66"/>
      <c r="P34" s="66"/>
      <c r="Q34" s="138"/>
      <c r="R34" s="138"/>
      <c r="S34" s="66"/>
      <c r="T34" s="106"/>
      <c r="U34" s="107"/>
      <c r="V34" s="139"/>
      <c r="W34" s="139"/>
      <c r="X34" s="140"/>
      <c r="AC34" s="47"/>
      <c r="AD34" s="47"/>
    </row>
    <row r="35" s="1" customFormat="1" ht="24" customHeight="1" spans="1:30">
      <c r="A35" s="36" t="s">
        <v>198</v>
      </c>
      <c r="B35" s="36"/>
      <c r="C35" s="37"/>
      <c r="D35" s="37"/>
      <c r="E35" s="37"/>
      <c r="F35" s="37"/>
      <c r="G35" s="37"/>
      <c r="H35" s="37"/>
      <c r="I35" s="37"/>
      <c r="J35" s="37"/>
      <c r="K35" s="37"/>
      <c r="L35" s="37"/>
      <c r="M35" s="37"/>
      <c r="N35" s="37"/>
      <c r="O35" s="37"/>
      <c r="P35" s="37"/>
      <c r="Q35" s="37"/>
      <c r="R35" s="37"/>
      <c r="S35" s="37"/>
      <c r="T35" s="37"/>
      <c r="U35" s="37"/>
      <c r="V35" s="37"/>
      <c r="W35" s="37"/>
      <c r="X35" s="145"/>
      <c r="AC35" s="8"/>
      <c r="AD35" s="8"/>
    </row>
    <row r="36" s="1" customFormat="1" ht="56" customHeight="1" spans="1:30">
      <c r="A36" s="20">
        <v>1</v>
      </c>
      <c r="B36" s="20" t="s">
        <v>199</v>
      </c>
      <c r="C36" s="20">
        <v>59375</v>
      </c>
      <c r="D36" s="20">
        <v>9600</v>
      </c>
      <c r="E36" s="28" t="s">
        <v>200</v>
      </c>
      <c r="F36" s="28" t="s">
        <v>201</v>
      </c>
      <c r="G36" s="28" t="s">
        <v>202</v>
      </c>
      <c r="H36" s="40"/>
      <c r="I36" s="76"/>
      <c r="J36" s="76"/>
      <c r="K36" s="76"/>
      <c r="L36" s="76"/>
      <c r="M36" s="76"/>
      <c r="N36" s="76"/>
      <c r="O36" s="77"/>
      <c r="P36" s="78"/>
      <c r="Q36" s="120"/>
      <c r="R36" s="120"/>
      <c r="S36" s="121"/>
      <c r="T36" s="106"/>
      <c r="U36" s="107"/>
      <c r="V36" s="106"/>
      <c r="W36" s="146"/>
      <c r="X36" s="108" t="s">
        <v>203</v>
      </c>
      <c r="AC36" s="8"/>
      <c r="AD36" s="8"/>
    </row>
    <row r="37" s="4" customFormat="1" ht="40" customHeight="1" spans="1:30">
      <c r="A37" s="20">
        <v>2</v>
      </c>
      <c r="B37" s="31" t="s">
        <v>204</v>
      </c>
      <c r="C37" s="32" t="s">
        <v>205</v>
      </c>
      <c r="D37" s="32">
        <v>2021</v>
      </c>
      <c r="E37" s="23" t="s">
        <v>206</v>
      </c>
      <c r="F37" s="23" t="s">
        <v>207</v>
      </c>
      <c r="G37" s="23" t="s">
        <v>208</v>
      </c>
      <c r="H37" s="41"/>
      <c r="I37" s="41"/>
      <c r="J37" s="41"/>
      <c r="K37" s="34"/>
      <c r="L37" s="34"/>
      <c r="M37" s="34"/>
      <c r="N37" s="39"/>
      <c r="O37" s="79"/>
      <c r="P37" s="26"/>
      <c r="Q37" s="26"/>
      <c r="R37" s="26"/>
      <c r="S37" s="26"/>
      <c r="T37" s="26"/>
      <c r="U37" s="133"/>
      <c r="V37" s="26"/>
      <c r="W37" s="26"/>
      <c r="X37" s="108" t="s">
        <v>157</v>
      </c>
      <c r="AC37" s="47"/>
      <c r="AD37" s="47"/>
    </row>
    <row r="38" s="1" customFormat="1" ht="54" customHeight="1" spans="1:30">
      <c r="A38" s="20">
        <v>3</v>
      </c>
      <c r="B38" s="21" t="s">
        <v>209</v>
      </c>
      <c r="C38" s="22">
        <v>4418</v>
      </c>
      <c r="D38" s="22">
        <v>2420</v>
      </c>
      <c r="E38" s="23" t="s">
        <v>168</v>
      </c>
      <c r="F38" s="23" t="s">
        <v>210</v>
      </c>
      <c r="G38" s="23" t="s">
        <v>211</v>
      </c>
      <c r="H38" s="21"/>
      <c r="I38" s="21"/>
      <c r="J38" s="21"/>
      <c r="K38" s="50"/>
      <c r="L38" s="21"/>
      <c r="M38" s="50"/>
      <c r="N38" s="51"/>
      <c r="O38" s="52"/>
      <c r="P38" s="69"/>
      <c r="Q38" s="136"/>
      <c r="R38" s="136"/>
      <c r="S38" s="147"/>
      <c r="T38" s="106"/>
      <c r="U38" s="107"/>
      <c r="V38" s="106"/>
      <c r="W38" s="106"/>
      <c r="X38" s="108" t="s">
        <v>212</v>
      </c>
      <c r="AC38" s="8"/>
      <c r="AD38" s="8"/>
    </row>
    <row r="39" s="4" customFormat="1" ht="55" customHeight="1" spans="1:30">
      <c r="A39" s="20">
        <v>4</v>
      </c>
      <c r="B39" s="31" t="s">
        <v>213</v>
      </c>
      <c r="C39" s="32">
        <v>375549.92</v>
      </c>
      <c r="D39" s="32">
        <v>22800</v>
      </c>
      <c r="E39" s="23" t="s">
        <v>214</v>
      </c>
      <c r="F39" s="23" t="s">
        <v>215</v>
      </c>
      <c r="G39" s="23" t="s">
        <v>216</v>
      </c>
      <c r="H39" s="41"/>
      <c r="I39" s="41"/>
      <c r="J39" s="41"/>
      <c r="K39" s="34"/>
      <c r="L39" s="34"/>
      <c r="M39" s="34"/>
      <c r="N39" s="79"/>
      <c r="O39" s="39"/>
      <c r="P39" s="26"/>
      <c r="Q39" s="26"/>
      <c r="R39" s="26"/>
      <c r="S39" s="26"/>
      <c r="T39" s="26"/>
      <c r="U39" s="133"/>
      <c r="V39" s="26"/>
      <c r="W39" s="26"/>
      <c r="X39" s="108" t="s">
        <v>217</v>
      </c>
      <c r="AC39" s="47"/>
      <c r="AD39" s="47"/>
    </row>
    <row r="40" s="5" customFormat="1" ht="98" customHeight="1" spans="1:24">
      <c r="A40" s="20">
        <v>5</v>
      </c>
      <c r="B40" s="31" t="s">
        <v>218</v>
      </c>
      <c r="C40" s="32">
        <v>31800</v>
      </c>
      <c r="D40" s="32">
        <v>12271.9</v>
      </c>
      <c r="E40" s="23" t="s">
        <v>219</v>
      </c>
      <c r="F40" s="23" t="s">
        <v>220</v>
      </c>
      <c r="G40" s="23" t="s">
        <v>221</v>
      </c>
      <c r="H40" s="38"/>
      <c r="I40" s="38"/>
      <c r="J40" s="38"/>
      <c r="K40" s="31"/>
      <c r="L40" s="31"/>
      <c r="M40" s="31"/>
      <c r="N40" s="80"/>
      <c r="O40" s="72"/>
      <c r="P40" s="26"/>
      <c r="Q40" s="26"/>
      <c r="R40" s="26"/>
      <c r="S40" s="26"/>
      <c r="T40" s="26"/>
      <c r="U40" s="133"/>
      <c r="V40" s="26"/>
      <c r="W40" s="26"/>
      <c r="X40" s="108" t="s">
        <v>222</v>
      </c>
    </row>
    <row r="41" s="5" customFormat="1" ht="71" customHeight="1" spans="1:24">
      <c r="A41" s="20">
        <v>6</v>
      </c>
      <c r="B41" s="31" t="s">
        <v>223</v>
      </c>
      <c r="C41" s="32" t="s">
        <v>224</v>
      </c>
      <c r="D41" s="32">
        <v>4493</v>
      </c>
      <c r="E41" s="23" t="s">
        <v>225</v>
      </c>
      <c r="F41" s="23" t="s">
        <v>226</v>
      </c>
      <c r="G41" s="23" t="s">
        <v>227</v>
      </c>
      <c r="H41" s="38"/>
      <c r="I41" s="38"/>
      <c r="J41" s="38"/>
      <c r="K41" s="31"/>
      <c r="L41" s="31"/>
      <c r="M41" s="31"/>
      <c r="N41" s="81"/>
      <c r="O41" s="72"/>
      <c r="P41" s="73"/>
      <c r="Q41" s="73"/>
      <c r="R41" s="73"/>
      <c r="S41" s="73"/>
      <c r="T41" s="73"/>
      <c r="U41" s="144"/>
      <c r="V41" s="73"/>
      <c r="W41" s="73"/>
      <c r="X41" s="108" t="s">
        <v>228</v>
      </c>
    </row>
    <row r="42" s="3" customFormat="1" ht="61" customHeight="1" spans="1:24">
      <c r="A42" s="20">
        <v>7</v>
      </c>
      <c r="B42" s="31" t="s">
        <v>229</v>
      </c>
      <c r="C42" s="32">
        <v>171705</v>
      </c>
      <c r="D42" s="32">
        <v>57407</v>
      </c>
      <c r="E42" s="23" t="s">
        <v>230</v>
      </c>
      <c r="F42" s="23" t="s">
        <v>231</v>
      </c>
      <c r="G42" s="23" t="s">
        <v>232</v>
      </c>
      <c r="H42" s="38"/>
      <c r="I42" s="38"/>
      <c r="J42" s="38"/>
      <c r="K42" s="31"/>
      <c r="L42" s="31"/>
      <c r="M42" s="31"/>
      <c r="N42" s="81"/>
      <c r="O42" s="72"/>
      <c r="P42" s="26"/>
      <c r="Q42" s="26"/>
      <c r="R42" s="26"/>
      <c r="S42" s="26"/>
      <c r="T42" s="26"/>
      <c r="U42" s="133"/>
      <c r="V42" s="26"/>
      <c r="W42" s="26"/>
      <c r="X42" s="108" t="s">
        <v>233</v>
      </c>
    </row>
    <row r="43" s="5" customFormat="1" ht="87" customHeight="1" spans="1:24">
      <c r="A43" s="20">
        <v>8</v>
      </c>
      <c r="B43" s="31" t="s">
        <v>234</v>
      </c>
      <c r="C43" s="32">
        <v>21900</v>
      </c>
      <c r="D43" s="32">
        <v>6200</v>
      </c>
      <c r="E43" s="23" t="s">
        <v>235</v>
      </c>
      <c r="F43" s="23" t="s">
        <v>236</v>
      </c>
      <c r="G43" s="23" t="s">
        <v>237</v>
      </c>
      <c r="H43" s="38"/>
      <c r="I43" s="38"/>
      <c r="J43" s="38"/>
      <c r="K43" s="31"/>
      <c r="L43" s="31"/>
      <c r="M43" s="31"/>
      <c r="N43" s="80"/>
      <c r="O43" s="72"/>
      <c r="P43" s="26"/>
      <c r="Q43" s="26"/>
      <c r="R43" s="26"/>
      <c r="S43" s="26"/>
      <c r="T43" s="26"/>
      <c r="U43" s="133"/>
      <c r="V43" s="26"/>
      <c r="W43" s="26"/>
      <c r="X43" s="108" t="s">
        <v>238</v>
      </c>
    </row>
    <row r="44" s="4" customFormat="1" ht="53" customHeight="1" spans="1:30">
      <c r="A44" s="20">
        <v>9</v>
      </c>
      <c r="B44" s="31" t="s">
        <v>239</v>
      </c>
      <c r="C44" s="32" t="s">
        <v>240</v>
      </c>
      <c r="D44" s="32">
        <v>10196</v>
      </c>
      <c r="E44" s="38" t="s">
        <v>241</v>
      </c>
      <c r="F44" s="41"/>
      <c r="G44" s="38" t="s">
        <v>242</v>
      </c>
      <c r="H44" s="41"/>
      <c r="I44" s="41"/>
      <c r="J44" s="41"/>
      <c r="K44" s="34"/>
      <c r="L44" s="34"/>
      <c r="M44" s="34"/>
      <c r="N44" s="39"/>
      <c r="O44" s="79"/>
      <c r="P44" s="26"/>
      <c r="Q44" s="26"/>
      <c r="R44" s="26"/>
      <c r="S44" s="26"/>
      <c r="T44" s="26"/>
      <c r="U44" s="133"/>
      <c r="V44" s="26"/>
      <c r="W44" s="26"/>
      <c r="X44" s="108" t="s">
        <v>243</v>
      </c>
      <c r="AC44" s="47"/>
      <c r="AD44" s="47"/>
    </row>
    <row r="45" s="6" customFormat="1" ht="35" customHeight="1" spans="1:24">
      <c r="A45" s="20">
        <v>10</v>
      </c>
      <c r="B45" s="31" t="s">
        <v>244</v>
      </c>
      <c r="C45" s="32">
        <v>81200</v>
      </c>
      <c r="D45" s="32">
        <v>26609</v>
      </c>
      <c r="E45" s="28" t="s">
        <v>245</v>
      </c>
      <c r="F45" s="28" t="s">
        <v>246</v>
      </c>
      <c r="G45" s="28" t="s">
        <v>247</v>
      </c>
      <c r="H45" s="41"/>
      <c r="I45" s="41"/>
      <c r="J45" s="41"/>
      <c r="K45" s="34"/>
      <c r="L45" s="34"/>
      <c r="M45" s="34"/>
      <c r="N45" s="81"/>
      <c r="O45" s="39"/>
      <c r="P45" s="26"/>
      <c r="Q45" s="26"/>
      <c r="R45" s="26"/>
      <c r="S45" s="26"/>
      <c r="T45" s="26"/>
      <c r="U45" s="133"/>
      <c r="V45" s="26"/>
      <c r="W45" s="26"/>
      <c r="X45" s="108" t="s">
        <v>248</v>
      </c>
    </row>
    <row r="46" s="1" customFormat="1" ht="35" customHeight="1" spans="1:30">
      <c r="A46" s="20">
        <v>11</v>
      </c>
      <c r="B46" s="20" t="s">
        <v>249</v>
      </c>
      <c r="C46" s="42" t="s">
        <v>44</v>
      </c>
      <c r="D46" s="20">
        <v>200</v>
      </c>
      <c r="E46" s="28" t="s">
        <v>250</v>
      </c>
      <c r="F46" s="28" t="s">
        <v>250</v>
      </c>
      <c r="G46" s="28" t="s">
        <v>251</v>
      </c>
      <c r="H46" s="42"/>
      <c r="I46" s="42"/>
      <c r="J46" s="42"/>
      <c r="K46" s="42"/>
      <c r="L46" s="20"/>
      <c r="M46" s="20"/>
      <c r="N46" s="57"/>
      <c r="O46" s="82"/>
      <c r="P46" s="78"/>
      <c r="Q46" s="120"/>
      <c r="R46" s="120"/>
      <c r="S46" s="121"/>
      <c r="T46" s="106"/>
      <c r="U46" s="107"/>
      <c r="V46" s="106"/>
      <c r="W46" s="106"/>
      <c r="X46" s="148" t="s">
        <v>252</v>
      </c>
      <c r="AC46" s="8"/>
      <c r="AD46" s="8"/>
    </row>
    <row r="47" s="6" customFormat="1" ht="73" customHeight="1" spans="1:24">
      <c r="A47" s="20">
        <v>12</v>
      </c>
      <c r="B47" s="31" t="s">
        <v>253</v>
      </c>
      <c r="C47" s="32">
        <v>6336</v>
      </c>
      <c r="D47" s="32">
        <v>4247.45</v>
      </c>
      <c r="E47" s="38" t="s">
        <v>254</v>
      </c>
      <c r="F47" s="28" t="s">
        <v>148</v>
      </c>
      <c r="G47" s="38" t="s">
        <v>211</v>
      </c>
      <c r="H47" s="41"/>
      <c r="I47" s="41"/>
      <c r="J47" s="41"/>
      <c r="K47" s="34"/>
      <c r="L47" s="34"/>
      <c r="M47" s="34"/>
      <c r="N47" s="81"/>
      <c r="O47" s="39"/>
      <c r="P47" s="26"/>
      <c r="Q47" s="26"/>
      <c r="R47" s="26"/>
      <c r="S47" s="26"/>
      <c r="T47" s="26"/>
      <c r="U47" s="133"/>
      <c r="V47" s="26"/>
      <c r="W47" s="26"/>
      <c r="X47" s="108" t="s">
        <v>255</v>
      </c>
    </row>
    <row r="48" s="4" customFormat="1" ht="46" customHeight="1" spans="1:30">
      <c r="A48" s="20">
        <v>13</v>
      </c>
      <c r="B48" s="31" t="s">
        <v>256</v>
      </c>
      <c r="C48" s="32" t="s">
        <v>44</v>
      </c>
      <c r="D48" s="32">
        <v>190</v>
      </c>
      <c r="E48" s="28" t="s">
        <v>257</v>
      </c>
      <c r="F48" s="41"/>
      <c r="G48" s="28" t="s">
        <v>216</v>
      </c>
      <c r="H48" s="41"/>
      <c r="I48" s="41"/>
      <c r="J48" s="41"/>
      <c r="K48" s="34"/>
      <c r="L48" s="34"/>
      <c r="M48" s="34"/>
      <c r="N48" s="79"/>
      <c r="O48" s="39"/>
      <c r="P48" s="26"/>
      <c r="Q48" s="26"/>
      <c r="R48" s="26"/>
      <c r="S48" s="26"/>
      <c r="T48" s="26"/>
      <c r="U48" s="133"/>
      <c r="V48" s="26"/>
      <c r="W48" s="26"/>
      <c r="X48" s="108" t="s">
        <v>258</v>
      </c>
      <c r="AC48" s="47"/>
      <c r="AD48" s="47"/>
    </row>
    <row r="49" s="5" customFormat="1" ht="45" customHeight="1" spans="1:24">
      <c r="A49" s="20">
        <v>14</v>
      </c>
      <c r="B49" s="31" t="s">
        <v>259</v>
      </c>
      <c r="C49" s="32" t="s">
        <v>44</v>
      </c>
      <c r="D49" s="32">
        <v>3872.17</v>
      </c>
      <c r="E49" s="28" t="s">
        <v>260</v>
      </c>
      <c r="F49" s="28" t="s">
        <v>261</v>
      </c>
      <c r="G49" s="28" t="s">
        <v>227</v>
      </c>
      <c r="H49" s="38"/>
      <c r="I49" s="38"/>
      <c r="J49" s="38"/>
      <c r="K49" s="31"/>
      <c r="L49" s="31"/>
      <c r="M49" s="31"/>
      <c r="N49" s="81"/>
      <c r="O49" s="72"/>
      <c r="P49" s="73"/>
      <c r="Q49" s="73"/>
      <c r="R49" s="73"/>
      <c r="S49" s="73"/>
      <c r="T49" s="73"/>
      <c r="U49" s="144"/>
      <c r="V49" s="73"/>
      <c r="W49" s="73"/>
      <c r="X49" s="108" t="s">
        <v>262</v>
      </c>
    </row>
    <row r="50" s="5" customFormat="1" ht="36" customHeight="1" spans="1:24">
      <c r="A50" s="20">
        <v>15</v>
      </c>
      <c r="B50" s="31" t="s">
        <v>263</v>
      </c>
      <c r="C50" s="32">
        <v>24277.97</v>
      </c>
      <c r="D50" s="32">
        <v>3715</v>
      </c>
      <c r="E50" s="23" t="s">
        <v>264</v>
      </c>
      <c r="F50" s="28" t="s">
        <v>265</v>
      </c>
      <c r="G50" s="23" t="s">
        <v>266</v>
      </c>
      <c r="H50" s="38"/>
      <c r="I50" s="38"/>
      <c r="J50" s="38"/>
      <c r="K50" s="31"/>
      <c r="L50" s="31"/>
      <c r="M50" s="31"/>
      <c r="N50" s="81"/>
      <c r="O50" s="72"/>
      <c r="P50" s="73"/>
      <c r="Q50" s="73"/>
      <c r="R50" s="73"/>
      <c r="S50" s="73"/>
      <c r="T50" s="73"/>
      <c r="U50" s="144"/>
      <c r="V50" s="73"/>
      <c r="W50" s="73"/>
      <c r="X50" s="131" t="s">
        <v>267</v>
      </c>
    </row>
    <row r="51" s="5" customFormat="1" ht="45" customHeight="1" spans="1:30">
      <c r="A51" s="20">
        <v>16</v>
      </c>
      <c r="B51" s="31" t="s">
        <v>268</v>
      </c>
      <c r="C51" s="32" t="s">
        <v>44</v>
      </c>
      <c r="D51" s="32">
        <v>78.5</v>
      </c>
      <c r="E51" s="23" t="s">
        <v>269</v>
      </c>
      <c r="F51" s="23" t="s">
        <v>270</v>
      </c>
      <c r="G51" s="23" t="s">
        <v>271</v>
      </c>
      <c r="H51" s="38"/>
      <c r="I51" s="38"/>
      <c r="J51" s="38"/>
      <c r="K51" s="31"/>
      <c r="L51" s="31"/>
      <c r="M51" s="31"/>
      <c r="N51" s="81"/>
      <c r="O51" s="72"/>
      <c r="P51" s="73"/>
      <c r="Q51" s="73"/>
      <c r="R51" s="73"/>
      <c r="S51" s="73"/>
      <c r="T51" s="73"/>
      <c r="U51" s="144"/>
      <c r="V51" s="73"/>
      <c r="W51" s="73"/>
      <c r="X51" s="108" t="s">
        <v>272</v>
      </c>
      <c r="Y51" s="151"/>
      <c r="Z51" s="151"/>
      <c r="AA51" s="151"/>
      <c r="AB51" s="151"/>
      <c r="AC51" s="151"/>
      <c r="AD51" s="151"/>
    </row>
    <row r="52" s="4" customFormat="1" ht="25" customHeight="1" spans="1:30">
      <c r="A52" s="20">
        <v>17</v>
      </c>
      <c r="B52" s="31" t="s">
        <v>273</v>
      </c>
      <c r="C52" s="32" t="s">
        <v>44</v>
      </c>
      <c r="D52" s="32">
        <v>26800</v>
      </c>
      <c r="E52" s="23" t="s">
        <v>274</v>
      </c>
      <c r="G52" s="28" t="s">
        <v>275</v>
      </c>
      <c r="H52" s="41"/>
      <c r="I52" s="41"/>
      <c r="J52" s="41"/>
      <c r="K52" s="34"/>
      <c r="L52" s="34"/>
      <c r="M52" s="34"/>
      <c r="N52" s="79"/>
      <c r="O52" s="39"/>
      <c r="P52" s="26"/>
      <c r="Q52" s="26"/>
      <c r="R52" s="26"/>
      <c r="S52" s="26"/>
      <c r="T52" s="26"/>
      <c r="U52" s="133"/>
      <c r="V52" s="26"/>
      <c r="W52" s="26"/>
      <c r="X52" s="140"/>
      <c r="AC52" s="47"/>
      <c r="AD52" s="47"/>
    </row>
    <row r="53" s="4" customFormat="1" ht="25" customHeight="1" spans="1:30">
      <c r="A53" s="20"/>
      <c r="B53" s="34" t="s">
        <v>276</v>
      </c>
      <c r="C53" s="43">
        <f>C36+C38+C39+C40+C42+C43+C45+C47+C50</f>
        <v>776561.89</v>
      </c>
      <c r="D53" s="43">
        <f>D36+D37+D38+D39+D40+D41+D42+D43+D44+D45+D46+D47+D48+D49+D50+D51+D52</f>
        <v>193121.02</v>
      </c>
      <c r="E53" s="41"/>
      <c r="F53" s="41"/>
      <c r="G53" s="41"/>
      <c r="H53" s="41"/>
      <c r="I53" s="41"/>
      <c r="J53" s="41"/>
      <c r="K53" s="34"/>
      <c r="L53" s="34"/>
      <c r="M53" s="34"/>
      <c r="N53" s="39"/>
      <c r="O53" s="39"/>
      <c r="P53" s="26"/>
      <c r="Q53" s="26"/>
      <c r="R53" s="26"/>
      <c r="S53" s="26"/>
      <c r="T53" s="26"/>
      <c r="U53" s="133"/>
      <c r="V53" s="26"/>
      <c r="W53" s="26"/>
      <c r="X53" s="140"/>
      <c r="AC53" s="47"/>
      <c r="AD53" s="47"/>
    </row>
    <row r="54" s="1" customFormat="1" ht="24" customHeight="1" spans="1:30">
      <c r="A54" s="36" t="s">
        <v>277</v>
      </c>
      <c r="B54" s="36"/>
      <c r="C54" s="37"/>
      <c r="D54" s="37"/>
      <c r="E54" s="37"/>
      <c r="F54" s="37"/>
      <c r="G54" s="37"/>
      <c r="H54" s="37"/>
      <c r="I54" s="37"/>
      <c r="J54" s="37"/>
      <c r="K54" s="37"/>
      <c r="L54" s="37"/>
      <c r="M54" s="37"/>
      <c r="N54" s="37"/>
      <c r="O54" s="37"/>
      <c r="P54" s="37"/>
      <c r="Q54" s="37"/>
      <c r="R54" s="37"/>
      <c r="S54" s="37"/>
      <c r="T54" s="37"/>
      <c r="U54" s="37"/>
      <c r="V54" s="37"/>
      <c r="W54" s="37"/>
      <c r="X54" s="145"/>
      <c r="AC54" s="8"/>
      <c r="AD54" s="8"/>
    </row>
    <row r="55" s="1" customFormat="1" ht="35" customHeight="1" spans="1:30">
      <c r="A55" s="21">
        <v>1</v>
      </c>
      <c r="B55" s="21" t="s">
        <v>278</v>
      </c>
      <c r="C55" s="22">
        <v>136162</v>
      </c>
      <c r="D55" s="22">
        <v>19867.71</v>
      </c>
      <c r="E55" s="23" t="s">
        <v>279</v>
      </c>
      <c r="F55" s="23"/>
      <c r="G55" s="23" t="s">
        <v>280</v>
      </c>
      <c r="H55" s="21"/>
      <c r="I55" s="21"/>
      <c r="J55" s="21"/>
      <c r="K55" s="50"/>
      <c r="L55" s="21"/>
      <c r="M55" s="50"/>
      <c r="N55" s="51" t="s">
        <v>281</v>
      </c>
      <c r="O55" s="52"/>
      <c r="P55" s="69"/>
      <c r="Q55" s="136"/>
      <c r="R55" s="136"/>
      <c r="S55" s="147"/>
      <c r="T55" s="106"/>
      <c r="U55" s="107"/>
      <c r="V55" s="106"/>
      <c r="W55" s="106"/>
      <c r="X55" s="149"/>
      <c r="AC55" s="8"/>
      <c r="AD55" s="8"/>
    </row>
    <row r="56" s="3" customFormat="1" ht="35" customHeight="1" spans="1:24">
      <c r="A56" s="31">
        <v>2</v>
      </c>
      <c r="B56" s="31" t="s">
        <v>282</v>
      </c>
      <c r="C56" s="32">
        <v>4491.8</v>
      </c>
      <c r="D56" s="32">
        <v>2196.9</v>
      </c>
      <c r="E56" s="38"/>
      <c r="F56" s="38"/>
      <c r="G56" s="38"/>
      <c r="H56" s="38"/>
      <c r="I56" s="38"/>
      <c r="J56" s="38"/>
      <c r="K56" s="31"/>
      <c r="L56" s="31"/>
      <c r="M56" s="31"/>
      <c r="N56" s="81" t="s">
        <v>283</v>
      </c>
      <c r="O56" s="72"/>
      <c r="P56" s="26"/>
      <c r="Q56" s="26"/>
      <c r="R56" s="26"/>
      <c r="S56" s="26"/>
      <c r="T56" s="26"/>
      <c r="U56" s="133"/>
      <c r="V56" s="26"/>
      <c r="W56" s="26"/>
      <c r="X56" s="149"/>
    </row>
    <row r="57" s="5" customFormat="1" ht="35" customHeight="1" spans="1:24">
      <c r="A57" s="31">
        <v>3</v>
      </c>
      <c r="B57" s="31" t="s">
        <v>284</v>
      </c>
      <c r="C57" s="32">
        <v>49000</v>
      </c>
      <c r="D57" s="32">
        <v>10000</v>
      </c>
      <c r="E57" s="23" t="s">
        <v>285</v>
      </c>
      <c r="F57" s="38"/>
      <c r="G57" s="23" t="s">
        <v>286</v>
      </c>
      <c r="H57" s="38"/>
      <c r="I57" s="38"/>
      <c r="J57" s="38"/>
      <c r="K57" s="31"/>
      <c r="L57" s="31"/>
      <c r="M57" s="31"/>
      <c r="N57" s="80" t="s">
        <v>287</v>
      </c>
      <c r="O57" s="72"/>
      <c r="P57" s="26"/>
      <c r="Q57" s="26"/>
      <c r="R57" s="26"/>
      <c r="S57" s="26"/>
      <c r="T57" s="26"/>
      <c r="U57" s="133"/>
      <c r="V57" s="26"/>
      <c r="W57" s="26"/>
      <c r="X57" s="149"/>
    </row>
    <row r="58" s="6" customFormat="1" ht="25" customHeight="1" spans="1:24">
      <c r="A58" s="34"/>
      <c r="B58" s="34" t="s">
        <v>276</v>
      </c>
      <c r="C58" s="43">
        <f>C55+C56+C57</f>
        <v>189653.8</v>
      </c>
      <c r="D58" s="43">
        <f>D55+D56+D57</f>
        <v>32064.61</v>
      </c>
      <c r="E58" s="41"/>
      <c r="F58" s="41"/>
      <c r="G58" s="41"/>
      <c r="H58" s="41"/>
      <c r="I58" s="41"/>
      <c r="J58" s="41"/>
      <c r="K58" s="34"/>
      <c r="L58" s="34"/>
      <c r="M58" s="34"/>
      <c r="N58" s="83"/>
      <c r="O58" s="39"/>
      <c r="P58" s="26"/>
      <c r="Q58" s="26"/>
      <c r="R58" s="26"/>
      <c r="S58" s="26"/>
      <c r="T58" s="26"/>
      <c r="U58" s="133"/>
      <c r="V58" s="26"/>
      <c r="W58" s="26"/>
      <c r="X58" s="140"/>
    </row>
    <row r="59" s="1" customFormat="1" ht="24" customHeight="1" spans="1:30">
      <c r="A59" s="36" t="s">
        <v>288</v>
      </c>
      <c r="B59" s="36"/>
      <c r="C59" s="37"/>
      <c r="D59" s="37"/>
      <c r="E59" s="37"/>
      <c r="F59" s="37"/>
      <c r="G59" s="37"/>
      <c r="H59" s="37"/>
      <c r="I59" s="37"/>
      <c r="J59" s="37"/>
      <c r="K59" s="37"/>
      <c r="L59" s="37"/>
      <c r="M59" s="37"/>
      <c r="N59" s="37"/>
      <c r="O59" s="37"/>
      <c r="P59" s="37"/>
      <c r="Q59" s="37"/>
      <c r="R59" s="37"/>
      <c r="S59" s="37"/>
      <c r="T59" s="37"/>
      <c r="U59" s="37"/>
      <c r="V59" s="37"/>
      <c r="W59" s="37"/>
      <c r="X59" s="145"/>
      <c r="AC59" s="8"/>
      <c r="AD59" s="8"/>
    </row>
    <row r="60" s="1" customFormat="1" ht="39" customHeight="1" spans="1:30">
      <c r="A60" s="20">
        <v>1</v>
      </c>
      <c r="B60" s="20" t="s">
        <v>289</v>
      </c>
      <c r="C60" s="20">
        <v>226530</v>
      </c>
      <c r="D60" s="20">
        <v>50232.5</v>
      </c>
      <c r="E60" s="28" t="s">
        <v>290</v>
      </c>
      <c r="F60" s="28" t="s">
        <v>291</v>
      </c>
      <c r="G60" s="28" t="s">
        <v>292</v>
      </c>
      <c r="H60" s="28" t="s">
        <v>293</v>
      </c>
      <c r="I60" s="28"/>
      <c r="J60" s="28"/>
      <c r="K60" s="28"/>
      <c r="L60" s="28"/>
      <c r="M60" s="28"/>
      <c r="N60" s="28" t="s">
        <v>294</v>
      </c>
      <c r="O60" s="28" t="s">
        <v>295</v>
      </c>
      <c r="P60" s="28" t="s">
        <v>296</v>
      </c>
      <c r="Q60" s="28"/>
      <c r="R60" s="28"/>
      <c r="S60" s="28"/>
      <c r="T60" s="85"/>
      <c r="U60" s="85"/>
      <c r="V60" s="85"/>
      <c r="W60" s="85"/>
      <c r="X60" s="135"/>
      <c r="AC60" s="8"/>
      <c r="AD60" s="8"/>
    </row>
    <row r="61" s="1" customFormat="1" ht="27" customHeight="1" spans="1:30">
      <c r="A61" s="20"/>
      <c r="B61" s="20" t="s">
        <v>297</v>
      </c>
      <c r="C61" s="20">
        <v>0</v>
      </c>
      <c r="D61" s="20">
        <v>1055</v>
      </c>
      <c r="E61" s="28"/>
      <c r="F61" s="28"/>
      <c r="G61" s="28"/>
      <c r="H61" s="28"/>
      <c r="I61" s="28"/>
      <c r="J61" s="28"/>
      <c r="K61" s="28"/>
      <c r="L61" s="28"/>
      <c r="M61" s="28"/>
      <c r="N61" s="28"/>
      <c r="O61" s="28"/>
      <c r="P61" s="28"/>
      <c r="Q61" s="28"/>
      <c r="R61" s="28"/>
      <c r="S61" s="28"/>
      <c r="T61" s="85"/>
      <c r="U61" s="85"/>
      <c r="V61" s="85"/>
      <c r="W61" s="85"/>
      <c r="X61" s="135"/>
      <c r="AC61" s="8"/>
      <c r="AD61" s="8"/>
    </row>
    <row r="62" s="1" customFormat="1" ht="133" customHeight="1" spans="1:30">
      <c r="A62" s="20"/>
      <c r="B62" s="20" t="s">
        <v>298</v>
      </c>
      <c r="C62" s="20">
        <v>0</v>
      </c>
      <c r="D62" s="20">
        <v>1266</v>
      </c>
      <c r="E62" s="28"/>
      <c r="F62" s="28"/>
      <c r="G62" s="28"/>
      <c r="H62" s="28"/>
      <c r="I62" s="28"/>
      <c r="J62" s="28"/>
      <c r="K62" s="28"/>
      <c r="L62" s="28"/>
      <c r="M62" s="28"/>
      <c r="N62" s="28"/>
      <c r="O62" s="28"/>
      <c r="P62" s="28"/>
      <c r="Q62" s="28"/>
      <c r="R62" s="28"/>
      <c r="S62" s="28"/>
      <c r="T62" s="85"/>
      <c r="U62" s="85"/>
      <c r="V62" s="85"/>
      <c r="W62" s="85"/>
      <c r="X62" s="135"/>
      <c r="AC62" s="8"/>
      <c r="AD62" s="8"/>
    </row>
    <row r="63" s="1" customFormat="1" ht="121" customHeight="1" spans="1:30">
      <c r="A63" s="20">
        <v>2</v>
      </c>
      <c r="B63" s="21" t="s">
        <v>299</v>
      </c>
      <c r="C63" s="22">
        <v>109221.2</v>
      </c>
      <c r="D63" s="22">
        <v>14670.29</v>
      </c>
      <c r="E63" s="23" t="s">
        <v>300</v>
      </c>
      <c r="F63" s="23" t="s">
        <v>301</v>
      </c>
      <c r="G63" s="23" t="s">
        <v>302</v>
      </c>
      <c r="H63" s="23" t="s">
        <v>303</v>
      </c>
      <c r="I63" s="23" t="s">
        <v>304</v>
      </c>
      <c r="J63" s="23" t="s">
        <v>305</v>
      </c>
      <c r="K63" s="50">
        <v>18909.48</v>
      </c>
      <c r="L63" s="21"/>
      <c r="M63" s="50"/>
      <c r="N63" s="52" t="s">
        <v>306</v>
      </c>
      <c r="O63" s="52" t="s">
        <v>307</v>
      </c>
      <c r="P63" s="53" t="s">
        <v>308</v>
      </c>
      <c r="Q63" s="136"/>
      <c r="R63" s="136"/>
      <c r="S63" s="105"/>
      <c r="T63" s="106"/>
      <c r="U63" s="107"/>
      <c r="V63" s="106"/>
      <c r="W63" s="106"/>
      <c r="X63" s="149"/>
      <c r="AC63" s="8"/>
      <c r="AD63" s="8"/>
    </row>
    <row r="64" s="4" customFormat="1" ht="25" customHeight="1" spans="1:30">
      <c r="A64" s="44"/>
      <c r="B64" s="44" t="s">
        <v>276</v>
      </c>
      <c r="C64" s="45">
        <f>C60+C61+C62+C63</f>
        <v>335751.2</v>
      </c>
      <c r="D64" s="45">
        <f>D60+D61+D62+D63</f>
        <v>67223.79</v>
      </c>
      <c r="E64" s="46"/>
      <c r="F64" s="46"/>
      <c r="G64" s="46"/>
      <c r="H64" s="46"/>
      <c r="I64" s="46"/>
      <c r="J64" s="46"/>
      <c r="K64" s="84">
        <f>K63</f>
        <v>18909.48</v>
      </c>
      <c r="L64" s="85"/>
      <c r="M64" s="84">
        <v>0</v>
      </c>
      <c r="N64" s="85"/>
      <c r="O64" s="46"/>
      <c r="P64" s="46"/>
      <c r="Q64" s="46"/>
      <c r="R64" s="46"/>
      <c r="S64" s="85"/>
      <c r="T64" s="85"/>
      <c r="U64" s="85"/>
      <c r="V64" s="85"/>
      <c r="W64" s="85"/>
      <c r="X64" s="150"/>
      <c r="AC64" s="47"/>
      <c r="AD64" s="47"/>
    </row>
    <row r="65" ht="17.6" spans="1:23">
      <c r="A65" s="152"/>
      <c r="B65" s="153" t="s">
        <v>309</v>
      </c>
      <c r="C65" s="154"/>
      <c r="D65" s="155" t="s">
        <v>310</v>
      </c>
      <c r="E65" s="155"/>
      <c r="F65" s="155"/>
      <c r="G65" s="154"/>
      <c r="H65" s="155"/>
      <c r="I65" s="155"/>
      <c r="J65" s="156" t="s">
        <v>311</v>
      </c>
      <c r="K65" s="154"/>
      <c r="L65" s="156"/>
      <c r="M65" s="156"/>
      <c r="N65" s="157" t="s">
        <v>312</v>
      </c>
      <c r="O65" s="156"/>
      <c r="P65" s="156"/>
      <c r="Q65" s="158"/>
      <c r="R65" s="156" t="s">
        <v>313</v>
      </c>
      <c r="S65" s="156"/>
      <c r="T65" s="156"/>
      <c r="U65" s="159"/>
      <c r="V65" s="160" t="s">
        <v>314</v>
      </c>
      <c r="W65" s="161"/>
    </row>
    <row r="66" spans="20:23">
      <c r="T66" s="162"/>
      <c r="U66" s="163"/>
      <c r="V66" s="162"/>
      <c r="W66" s="162"/>
    </row>
  </sheetData>
  <mergeCells count="66">
    <mergeCell ref="A1:W1"/>
    <mergeCell ref="A2:F2"/>
    <mergeCell ref="H2:I2"/>
    <mergeCell ref="H2:I2"/>
    <mergeCell ref="N2:X2"/>
    <mergeCell ref="E3:F3"/>
    <mergeCell ref="G3:H3"/>
    <mergeCell ref="I3:J3"/>
    <mergeCell ref="T3:W3"/>
    <mergeCell ref="T4:U4"/>
    <mergeCell ref="V4:W4"/>
    <mergeCell ref="A6:X6"/>
    <mergeCell ref="A9:X9"/>
    <mergeCell ref="A13:X13"/>
    <mergeCell ref="A22:X22"/>
    <mergeCell ref="A28:X28"/>
    <mergeCell ref="A35:X35"/>
    <mergeCell ref="A54:X54"/>
    <mergeCell ref="A59:X59"/>
    <mergeCell ref="D65:F65"/>
    <mergeCell ref="J65:K65"/>
    <mergeCell ref="L65:M65"/>
    <mergeCell ref="R65:T65"/>
    <mergeCell ref="V65:W65"/>
    <mergeCell ref="A3:A5"/>
    <mergeCell ref="A60:A62"/>
    <mergeCell ref="B3:B5"/>
    <mergeCell ref="C3:C5"/>
    <mergeCell ref="D3:D5"/>
    <mergeCell ref="E4:E5"/>
    <mergeCell ref="E60:E62"/>
    <mergeCell ref="F4:F5"/>
    <mergeCell ref="F60:F62"/>
    <mergeCell ref="G4:G5"/>
    <mergeCell ref="G4:G5"/>
    <mergeCell ref="G60:G62"/>
    <mergeCell ref="H4:H5"/>
    <mergeCell ref="H60:H62"/>
    <mergeCell ref="I4:I5"/>
    <mergeCell ref="I60:I62"/>
    <mergeCell ref="J4:J5"/>
    <mergeCell ref="J60:J62"/>
    <mergeCell ref="K3:K5"/>
    <mergeCell ref="K60:K62"/>
    <mergeCell ref="L3:L5"/>
    <mergeCell ref="L60:L62"/>
    <mergeCell ref="M3:M5"/>
    <mergeCell ref="M60:M62"/>
    <mergeCell ref="N3:N5"/>
    <mergeCell ref="N60:N62"/>
    <mergeCell ref="O3:O5"/>
    <mergeCell ref="O60:O62"/>
    <mergeCell ref="P3:P5"/>
    <mergeCell ref="P60:P62"/>
    <mergeCell ref="Q3:Q5"/>
    <mergeCell ref="Q60:Q62"/>
    <mergeCell ref="R3:R5"/>
    <mergeCell ref="R60:R62"/>
    <mergeCell ref="S3:S5"/>
    <mergeCell ref="S60:S62"/>
    <mergeCell ref="T60:T62"/>
    <mergeCell ref="U60:U62"/>
    <mergeCell ref="V60:V62"/>
    <mergeCell ref="W60:W62"/>
    <mergeCell ref="X3:X5"/>
    <mergeCell ref="X60:X62"/>
  </mergeCells>
  <printOptions horizontalCentered="1"/>
  <pageMargins left="0.16" right="0.16" top="0.196527777777778" bottom="0.236111111111111" header="0.51" footer="0.118055555555556"/>
  <pageSetup paperSize="9" scale="56" fitToHeight="0"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Office 个人版</Application>
  <HeadingPairs>
    <vt:vector size="2" baseType="variant">
      <vt:variant>
        <vt:lpstr>工作表</vt:lpstr>
      </vt:variant>
      <vt:variant>
        <vt:i4>1</vt:i4>
      </vt:variant>
    </vt:vector>
  </HeadingPairs>
  <TitlesOfParts>
    <vt:vector size="1" baseType="lpstr">
      <vt:lpstr>五公司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yjche</cp:lastModifiedBy>
  <cp:revision>1</cp:revision>
  <dcterms:created xsi:type="dcterms:W3CDTF">2014-04-09T02:34:34Z</dcterms:created>
  <cp:lastPrinted>2021-01-23T00:52:22Z</cp:lastPrinted>
  <dcterms:modified xsi:type="dcterms:W3CDTF">2026-06-23T07:40:58Z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KSORubyTemplateID">
    <vt:lpwstr>14</vt:lpwstr>
  </property>
  <property fmtid="{D5CDD505-2E9C-101B-9397-08002B2CF9AE}" pid="4" name="KSOReadingLayout">
    <vt:bool>true</vt:bool>
  </property>
  <property fmtid="{D5CDD505-2E9C-101B-9397-08002B2CF9AE}" pid="5" name="ICV">
    <vt:lpwstr>BC6F1BA1B2B04F18B748846597B10FA3</vt:lpwstr>
  </property>
  <property fmtid="{D5CDD505-2E9C-101B-9397-08002B2CF9AE}" pid="6" name="CalculationRule">
    <vt:r8>0</vt:r8>
  </property>
</Properties>
</file>